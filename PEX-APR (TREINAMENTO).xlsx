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eletrobras-my.sharepoint.com/personal/edantas_eletrobras_com/Documents/Arquivos de Chat do Microsoft Teams/"/>
    </mc:Choice>
  </mc:AlternateContent>
  <xr:revisionPtr revIDLastSave="147" documentId="8_{634A0DA8-467F-4925-9D4C-621394DDE56A}" xr6:coauthVersionLast="47" xr6:coauthVersionMax="47" xr10:uidLastSave="{255962EF-AB82-404C-855C-D3809B10D227}"/>
  <bookViews>
    <workbookView xWindow="-120" yWindow="-120" windowWidth="29040" windowHeight="15720" tabRatio="871" xr2:uid="{D08F14A3-8747-48DF-82E9-9FC6AE7B4D34}"/>
  </bookViews>
  <sheets>
    <sheet name="PEX" sheetId="1" r:id="rId1"/>
    <sheet name="APR" sheetId="3" r:id="rId2"/>
    <sheet name="Croqui" sheetId="12" r:id="rId3"/>
    <sheet name="Controle P.Crítico" sheetId="11" r:id="rId4"/>
    <sheet name="Equipe" sheetId="10" r:id="rId5"/>
    <sheet name="APR (B.Dados)" sheetId="13" r:id="rId6"/>
    <sheet name="Controle P.Crítico (B.Dados)" sheetId="18" r:id="rId7"/>
    <sheet name="Perigos" sheetId="6" state="hidden" r:id="rId8"/>
    <sheet name="Tabelas" sheetId="5" state="hidden" r:id="rId9"/>
    <sheet name="Matriz 5x5" sheetId="4" state="hidden" r:id="rId10"/>
    <sheet name="Auxiliar" sheetId="9" state="hidden" r:id="rId11"/>
  </sheets>
  <definedNames>
    <definedName name="_xlnm.Print_Area" localSheetId="1">APR!$B$2:$R$24</definedName>
    <definedName name="_xlnm.Print_Area" localSheetId="5">'APR (B.Dados)'!$B$2:$R$83</definedName>
    <definedName name="_xlnm.Print_Area" localSheetId="10">Auxiliar!$A$1</definedName>
    <definedName name="_xlnm.Print_Area" localSheetId="3">'Controle P.Crítico'!$B$2:$L$42</definedName>
    <definedName name="_xlnm.Print_Area" localSheetId="6">'Controle P.Crítico (B.Dados)'!$B$2:$L$42</definedName>
    <definedName name="_xlnm.Print_Area" localSheetId="2">Croqui!$B$2:$AY$68</definedName>
    <definedName name="_xlnm.Print_Area" localSheetId="4">Equipe!$F$1</definedName>
    <definedName name="_xlnm.Print_Area" localSheetId="9">'Matriz 5x5'!$A$1</definedName>
    <definedName name="_xlnm.Print_Area" localSheetId="7">Perigos!$A$1</definedName>
    <definedName name="_xlnm.Print_Area" localSheetId="0">PEX!$B$2:$AY$391</definedName>
    <definedName name="_xlnm.Print_Area" localSheetId="8">Tabelas!$A$1</definedName>
    <definedName name="_xlnm.Print_Titles" localSheetId="1">APR!$2:$9</definedName>
    <definedName name="_xlnm.Print_Titles" localSheetId="5">'APR (B.Dados)'!$2:$9</definedName>
    <definedName name="_xlnm.Print_Titles" localSheetId="3">'Controle P.Crítico'!$2:$6</definedName>
    <definedName name="_xlnm.Print_Titles" localSheetId="6">'Controle P.Crítico (B.Dados)'!$2:$6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7" i="1" l="1"/>
  <c r="BE15" i="1"/>
  <c r="BF346" i="1"/>
  <c r="BE346" i="1"/>
  <c r="BD346" i="1"/>
  <c r="BC346" i="1"/>
  <c r="BF345" i="1"/>
  <c r="BE345" i="1"/>
  <c r="BD345" i="1"/>
  <c r="BC345" i="1"/>
  <c r="BF344" i="1"/>
  <c r="BE344" i="1"/>
  <c r="BD344" i="1"/>
  <c r="BC344" i="1"/>
  <c r="BF343" i="1"/>
  <c r="BE343" i="1"/>
  <c r="BD343" i="1"/>
  <c r="BC343" i="1"/>
  <c r="BF342" i="1"/>
  <c r="BE342" i="1"/>
  <c r="BD342" i="1"/>
  <c r="BC342" i="1"/>
  <c r="BF341" i="1"/>
  <c r="BE341" i="1"/>
  <c r="BD341" i="1"/>
  <c r="BC341" i="1"/>
  <c r="BF340" i="1"/>
  <c r="BE340" i="1"/>
  <c r="BD340" i="1"/>
  <c r="BC340" i="1"/>
  <c r="BF339" i="1"/>
  <c r="BE339" i="1"/>
  <c r="BD339" i="1"/>
  <c r="BC339" i="1"/>
  <c r="BF338" i="1"/>
  <c r="BE338" i="1"/>
  <c r="BD338" i="1"/>
  <c r="BC338" i="1"/>
  <c r="BF337" i="1"/>
  <c r="BE337" i="1"/>
  <c r="BD337" i="1"/>
  <c r="BC337" i="1"/>
  <c r="BF336" i="1"/>
  <c r="BE336" i="1"/>
  <c r="BD336" i="1"/>
  <c r="BC336" i="1"/>
  <c r="BF335" i="1"/>
  <c r="BE335" i="1"/>
  <c r="BD335" i="1"/>
  <c r="BC335" i="1"/>
  <c r="BF334" i="1"/>
  <c r="BE334" i="1"/>
  <c r="BD334" i="1"/>
  <c r="BC334" i="1"/>
  <c r="BF333" i="1"/>
  <c r="BE333" i="1"/>
  <c r="BD333" i="1"/>
  <c r="BC333" i="1"/>
  <c r="BF332" i="1"/>
  <c r="BE332" i="1"/>
  <c r="BD332" i="1"/>
  <c r="BC332" i="1"/>
  <c r="BF331" i="1"/>
  <c r="BE331" i="1"/>
  <c r="BD331" i="1"/>
  <c r="BC331" i="1"/>
  <c r="BF330" i="1"/>
  <c r="BE330" i="1"/>
  <c r="BD330" i="1"/>
  <c r="BC330" i="1"/>
  <c r="BF329" i="1"/>
  <c r="BE329" i="1"/>
  <c r="BD329" i="1"/>
  <c r="BC329" i="1"/>
  <c r="BF328" i="1"/>
  <c r="BE328" i="1"/>
  <c r="BD328" i="1"/>
  <c r="BC328" i="1"/>
  <c r="BF327" i="1"/>
  <c r="BE327" i="1"/>
  <c r="BD327" i="1"/>
  <c r="BC327" i="1"/>
  <c r="BF326" i="1"/>
  <c r="BE326" i="1"/>
  <c r="BD326" i="1"/>
  <c r="BC326" i="1"/>
  <c r="BF325" i="1"/>
  <c r="BE325" i="1"/>
  <c r="BD325" i="1"/>
  <c r="BC325" i="1"/>
  <c r="BF324" i="1"/>
  <c r="BE324" i="1"/>
  <c r="BD324" i="1"/>
  <c r="BC324" i="1"/>
  <c r="BF323" i="1"/>
  <c r="BE323" i="1"/>
  <c r="BD323" i="1"/>
  <c r="BC323" i="1"/>
  <c r="BF322" i="1"/>
  <c r="BE322" i="1"/>
  <c r="BD322" i="1"/>
  <c r="BC322" i="1"/>
  <c r="BF321" i="1"/>
  <c r="BE321" i="1"/>
  <c r="BD321" i="1"/>
  <c r="BC321" i="1"/>
  <c r="BF320" i="1"/>
  <c r="BE320" i="1"/>
  <c r="BD320" i="1"/>
  <c r="BC320" i="1"/>
  <c r="BF319" i="1"/>
  <c r="BE319" i="1"/>
  <c r="BD319" i="1"/>
  <c r="BC319" i="1"/>
  <c r="BF318" i="1"/>
  <c r="BE318" i="1"/>
  <c r="BD318" i="1"/>
  <c r="BC318" i="1"/>
  <c r="BF317" i="1"/>
  <c r="BE317" i="1"/>
  <c r="BD317" i="1"/>
  <c r="BC317" i="1"/>
  <c r="BF316" i="1"/>
  <c r="BE316" i="1"/>
  <c r="BD316" i="1"/>
  <c r="BC316" i="1"/>
  <c r="BF315" i="1"/>
  <c r="BE315" i="1"/>
  <c r="BD315" i="1"/>
  <c r="BC315" i="1"/>
  <c r="BF314" i="1"/>
  <c r="BE314" i="1"/>
  <c r="BD314" i="1"/>
  <c r="BC314" i="1"/>
  <c r="BF313" i="1"/>
  <c r="BE313" i="1"/>
  <c r="BD313" i="1"/>
  <c r="BC313" i="1"/>
  <c r="BF312" i="1"/>
  <c r="BE312" i="1"/>
  <c r="BD312" i="1"/>
  <c r="BC312" i="1"/>
  <c r="BF311" i="1"/>
  <c r="BE311" i="1"/>
  <c r="BD311" i="1"/>
  <c r="BC311" i="1"/>
  <c r="BF310" i="1"/>
  <c r="BE310" i="1"/>
  <c r="BD310" i="1"/>
  <c r="BC310" i="1"/>
  <c r="BF309" i="1"/>
  <c r="BE309" i="1"/>
  <c r="BD309" i="1"/>
  <c r="BC309" i="1"/>
  <c r="BF308" i="1"/>
  <c r="BE308" i="1"/>
  <c r="BD308" i="1"/>
  <c r="BC308" i="1"/>
  <c r="BF307" i="1"/>
  <c r="BE307" i="1"/>
  <c r="BD307" i="1"/>
  <c r="BC307" i="1"/>
  <c r="BF306" i="1"/>
  <c r="BE306" i="1"/>
  <c r="BD306" i="1"/>
  <c r="BC306" i="1"/>
  <c r="BF305" i="1"/>
  <c r="BE305" i="1"/>
  <c r="BD305" i="1"/>
  <c r="BC305" i="1"/>
  <c r="BF304" i="1"/>
  <c r="BE304" i="1"/>
  <c r="BD304" i="1"/>
  <c r="BC304" i="1"/>
  <c r="BF303" i="1"/>
  <c r="BE303" i="1"/>
  <c r="BD303" i="1"/>
  <c r="BC303" i="1"/>
  <c r="BF302" i="1"/>
  <c r="BE302" i="1"/>
  <c r="BD302" i="1"/>
  <c r="BC302" i="1"/>
  <c r="BF301" i="1"/>
  <c r="BE301" i="1"/>
  <c r="BD301" i="1"/>
  <c r="BC301" i="1"/>
  <c r="BF300" i="1"/>
  <c r="BE300" i="1"/>
  <c r="BD300" i="1"/>
  <c r="BC300" i="1"/>
  <c r="BF299" i="1"/>
  <c r="BE299" i="1"/>
  <c r="BD299" i="1"/>
  <c r="BC299" i="1"/>
  <c r="BF298" i="1"/>
  <c r="BE298" i="1"/>
  <c r="BD298" i="1"/>
  <c r="BC298" i="1"/>
  <c r="BF297" i="1"/>
  <c r="BE297" i="1"/>
  <c r="BD297" i="1"/>
  <c r="BC297" i="1"/>
  <c r="BF296" i="1"/>
  <c r="BE296" i="1"/>
  <c r="BD296" i="1"/>
  <c r="BC296" i="1"/>
  <c r="BF295" i="1"/>
  <c r="BE295" i="1"/>
  <c r="BD295" i="1"/>
  <c r="BC295" i="1"/>
  <c r="BF294" i="1"/>
  <c r="BE294" i="1"/>
  <c r="BD294" i="1"/>
  <c r="BC294" i="1"/>
  <c r="BF293" i="1"/>
  <c r="BE293" i="1"/>
  <c r="BD293" i="1"/>
  <c r="BC293" i="1"/>
  <c r="BF292" i="1"/>
  <c r="BE292" i="1"/>
  <c r="BD292" i="1"/>
  <c r="BC292" i="1"/>
  <c r="BF291" i="1"/>
  <c r="BE291" i="1"/>
  <c r="BD291" i="1"/>
  <c r="BC291" i="1"/>
  <c r="BF290" i="1"/>
  <c r="BE290" i="1"/>
  <c r="BD290" i="1"/>
  <c r="BC290" i="1"/>
  <c r="BF289" i="1"/>
  <c r="BE289" i="1"/>
  <c r="BD289" i="1"/>
  <c r="BC289" i="1"/>
  <c r="BF288" i="1"/>
  <c r="BE288" i="1"/>
  <c r="BD288" i="1"/>
  <c r="BC288" i="1"/>
  <c r="BF287" i="1"/>
  <c r="BE287" i="1"/>
  <c r="BD287" i="1"/>
  <c r="BC287" i="1"/>
  <c r="BF286" i="1"/>
  <c r="BE286" i="1"/>
  <c r="BD286" i="1"/>
  <c r="BC286" i="1"/>
  <c r="BF285" i="1"/>
  <c r="BE285" i="1"/>
  <c r="BD285" i="1"/>
  <c r="BC285" i="1"/>
  <c r="BF284" i="1"/>
  <c r="BE284" i="1"/>
  <c r="BD284" i="1"/>
  <c r="BC284" i="1"/>
  <c r="BF283" i="1"/>
  <c r="BE283" i="1"/>
  <c r="BD283" i="1"/>
  <c r="BC283" i="1"/>
  <c r="BF282" i="1"/>
  <c r="BE282" i="1"/>
  <c r="BD282" i="1"/>
  <c r="BC282" i="1"/>
  <c r="BF281" i="1"/>
  <c r="BE281" i="1"/>
  <c r="BD281" i="1"/>
  <c r="BC281" i="1"/>
  <c r="BF280" i="1"/>
  <c r="BE280" i="1"/>
  <c r="BD280" i="1"/>
  <c r="BC280" i="1"/>
  <c r="BF279" i="1"/>
  <c r="BE279" i="1"/>
  <c r="BD279" i="1"/>
  <c r="BC279" i="1"/>
  <c r="BF278" i="1"/>
  <c r="BE278" i="1"/>
  <c r="BD278" i="1"/>
  <c r="BC278" i="1"/>
  <c r="BF277" i="1"/>
  <c r="BE277" i="1"/>
  <c r="BD277" i="1"/>
  <c r="BC277" i="1"/>
  <c r="BF276" i="1"/>
  <c r="BE276" i="1"/>
  <c r="BD276" i="1"/>
  <c r="BC276" i="1"/>
  <c r="BF275" i="1"/>
  <c r="BE275" i="1"/>
  <c r="BD275" i="1"/>
  <c r="BC275" i="1"/>
  <c r="BF274" i="1"/>
  <c r="BE274" i="1"/>
  <c r="BD274" i="1"/>
  <c r="BC274" i="1"/>
  <c r="BF273" i="1"/>
  <c r="BE273" i="1"/>
  <c r="BD273" i="1"/>
  <c r="BC273" i="1"/>
  <c r="BF272" i="1"/>
  <c r="BE272" i="1"/>
  <c r="BD272" i="1"/>
  <c r="BC272" i="1"/>
  <c r="BF271" i="1"/>
  <c r="BE271" i="1"/>
  <c r="BD271" i="1"/>
  <c r="BC271" i="1"/>
  <c r="BF270" i="1"/>
  <c r="BE270" i="1"/>
  <c r="BD270" i="1"/>
  <c r="BC270" i="1"/>
  <c r="BF269" i="1"/>
  <c r="BE269" i="1"/>
  <c r="BD269" i="1"/>
  <c r="BC269" i="1"/>
  <c r="BF268" i="1"/>
  <c r="BE268" i="1"/>
  <c r="BD268" i="1"/>
  <c r="BC268" i="1"/>
  <c r="BF267" i="1"/>
  <c r="BE267" i="1"/>
  <c r="BD267" i="1"/>
  <c r="BC267" i="1"/>
  <c r="BF266" i="1"/>
  <c r="BE266" i="1"/>
  <c r="BD266" i="1"/>
  <c r="BC266" i="1"/>
  <c r="BF265" i="1"/>
  <c r="BE265" i="1"/>
  <c r="BD265" i="1"/>
  <c r="BC265" i="1"/>
  <c r="BF264" i="1"/>
  <c r="BE264" i="1"/>
  <c r="BD264" i="1"/>
  <c r="BC264" i="1"/>
  <c r="BF263" i="1"/>
  <c r="BE263" i="1"/>
  <c r="BD263" i="1"/>
  <c r="BC263" i="1"/>
  <c r="BF262" i="1"/>
  <c r="BE262" i="1"/>
  <c r="BD262" i="1"/>
  <c r="BC262" i="1"/>
  <c r="BF261" i="1"/>
  <c r="BE261" i="1"/>
  <c r="BD261" i="1"/>
  <c r="BC261" i="1"/>
  <c r="BF260" i="1"/>
  <c r="BE260" i="1"/>
  <c r="BD260" i="1"/>
  <c r="BC260" i="1"/>
  <c r="BF259" i="1"/>
  <c r="BE259" i="1"/>
  <c r="BD259" i="1"/>
  <c r="BC259" i="1"/>
  <c r="BF258" i="1"/>
  <c r="BE258" i="1"/>
  <c r="BD258" i="1"/>
  <c r="BC258" i="1"/>
  <c r="BF257" i="1"/>
  <c r="BE257" i="1"/>
  <c r="BD257" i="1"/>
  <c r="BC257" i="1"/>
  <c r="BF256" i="1"/>
  <c r="BE256" i="1"/>
  <c r="BD256" i="1"/>
  <c r="BC256" i="1"/>
  <c r="BF255" i="1"/>
  <c r="BE255" i="1"/>
  <c r="BD255" i="1"/>
  <c r="BC255" i="1"/>
  <c r="BF254" i="1"/>
  <c r="BE254" i="1"/>
  <c r="BD254" i="1"/>
  <c r="BC254" i="1"/>
  <c r="BF253" i="1"/>
  <c r="BE253" i="1"/>
  <c r="BD253" i="1"/>
  <c r="BC253" i="1"/>
  <c r="BF252" i="1"/>
  <c r="BE252" i="1"/>
  <c r="BD252" i="1"/>
  <c r="BC252" i="1"/>
  <c r="BF251" i="1"/>
  <c r="BE251" i="1"/>
  <c r="BD251" i="1"/>
  <c r="BC251" i="1"/>
  <c r="BF250" i="1"/>
  <c r="BE250" i="1"/>
  <c r="BD250" i="1"/>
  <c r="BC250" i="1"/>
  <c r="BF249" i="1"/>
  <c r="BE249" i="1"/>
  <c r="BD249" i="1"/>
  <c r="BC249" i="1"/>
  <c r="BF248" i="1"/>
  <c r="BE248" i="1"/>
  <c r="BD248" i="1"/>
  <c r="BC248" i="1"/>
  <c r="BF247" i="1"/>
  <c r="BE247" i="1"/>
  <c r="BD247" i="1"/>
  <c r="BC247" i="1"/>
  <c r="BF246" i="1"/>
  <c r="BE246" i="1"/>
  <c r="BD246" i="1"/>
  <c r="BC246" i="1"/>
  <c r="BF245" i="1"/>
  <c r="BE245" i="1"/>
  <c r="BD245" i="1"/>
  <c r="BC245" i="1"/>
  <c r="BF244" i="1"/>
  <c r="BE244" i="1"/>
  <c r="BD244" i="1"/>
  <c r="BC244" i="1"/>
  <c r="BF243" i="1"/>
  <c r="BE243" i="1"/>
  <c r="BD243" i="1"/>
  <c r="BC243" i="1"/>
  <c r="BF242" i="1"/>
  <c r="BE242" i="1"/>
  <c r="BD242" i="1"/>
  <c r="BC242" i="1"/>
  <c r="BF241" i="1"/>
  <c r="BE241" i="1"/>
  <c r="BD241" i="1"/>
  <c r="BC241" i="1"/>
  <c r="BF240" i="1"/>
  <c r="BE240" i="1"/>
  <c r="BD240" i="1"/>
  <c r="BC240" i="1"/>
  <c r="BF239" i="1"/>
  <c r="BE239" i="1"/>
  <c r="BD239" i="1"/>
  <c r="BC239" i="1"/>
  <c r="BF238" i="1"/>
  <c r="BE238" i="1"/>
  <c r="BD238" i="1"/>
  <c r="BC238" i="1"/>
  <c r="BF237" i="1"/>
  <c r="BE237" i="1"/>
  <c r="BD237" i="1"/>
  <c r="BC237" i="1"/>
  <c r="BF236" i="1"/>
  <c r="BE236" i="1"/>
  <c r="BD236" i="1"/>
  <c r="BC236" i="1"/>
  <c r="BF235" i="1"/>
  <c r="BE235" i="1"/>
  <c r="BD235" i="1"/>
  <c r="BC235" i="1"/>
  <c r="BF234" i="1"/>
  <c r="BE234" i="1"/>
  <c r="BD234" i="1"/>
  <c r="BC234" i="1"/>
  <c r="BF233" i="1"/>
  <c r="BE233" i="1"/>
  <c r="BD233" i="1"/>
  <c r="BC233" i="1"/>
  <c r="BF232" i="1"/>
  <c r="BE232" i="1"/>
  <c r="BD232" i="1"/>
  <c r="BC232" i="1"/>
  <c r="BF231" i="1"/>
  <c r="BE231" i="1"/>
  <c r="BD231" i="1"/>
  <c r="BC231" i="1"/>
  <c r="BF230" i="1"/>
  <c r="BE230" i="1"/>
  <c r="BD230" i="1"/>
  <c r="BC230" i="1"/>
  <c r="BF229" i="1"/>
  <c r="BE229" i="1"/>
  <c r="BD229" i="1"/>
  <c r="BC229" i="1"/>
  <c r="BF228" i="1"/>
  <c r="BE228" i="1"/>
  <c r="BD228" i="1"/>
  <c r="BC228" i="1"/>
  <c r="BF227" i="1"/>
  <c r="BE227" i="1"/>
  <c r="BD227" i="1"/>
  <c r="BC227" i="1"/>
  <c r="BF226" i="1"/>
  <c r="BE226" i="1"/>
  <c r="BD226" i="1"/>
  <c r="BC226" i="1"/>
  <c r="BF225" i="1"/>
  <c r="BE225" i="1"/>
  <c r="BD225" i="1"/>
  <c r="BC225" i="1"/>
  <c r="BF224" i="1"/>
  <c r="BE224" i="1"/>
  <c r="BD224" i="1"/>
  <c r="BC224" i="1"/>
  <c r="BF223" i="1"/>
  <c r="BE223" i="1"/>
  <c r="BD223" i="1"/>
  <c r="BC223" i="1"/>
  <c r="BF222" i="1"/>
  <c r="BE222" i="1"/>
  <c r="BD222" i="1"/>
  <c r="BC222" i="1"/>
  <c r="BF221" i="1"/>
  <c r="BE221" i="1"/>
  <c r="BD221" i="1"/>
  <c r="BC221" i="1"/>
  <c r="BF220" i="1"/>
  <c r="BE220" i="1"/>
  <c r="BD220" i="1"/>
  <c r="BC220" i="1"/>
  <c r="BF219" i="1"/>
  <c r="BE219" i="1"/>
  <c r="BD219" i="1"/>
  <c r="BC219" i="1"/>
  <c r="BF218" i="1"/>
  <c r="BE218" i="1"/>
  <c r="BD218" i="1"/>
  <c r="BC218" i="1"/>
  <c r="BF217" i="1"/>
  <c r="BE217" i="1"/>
  <c r="BD217" i="1"/>
  <c r="BC217" i="1"/>
  <c r="BF216" i="1"/>
  <c r="BE216" i="1"/>
  <c r="BD216" i="1"/>
  <c r="BC216" i="1"/>
  <c r="BF215" i="1"/>
  <c r="BE215" i="1"/>
  <c r="BD215" i="1"/>
  <c r="BC215" i="1"/>
  <c r="BF214" i="1"/>
  <c r="BE214" i="1"/>
  <c r="BD214" i="1"/>
  <c r="BC214" i="1"/>
  <c r="BF213" i="1"/>
  <c r="BE213" i="1"/>
  <c r="BD213" i="1"/>
  <c r="BC213" i="1"/>
  <c r="BF212" i="1"/>
  <c r="BE212" i="1"/>
  <c r="BD212" i="1"/>
  <c r="BC212" i="1"/>
  <c r="BF211" i="1"/>
  <c r="BE211" i="1"/>
  <c r="BD211" i="1"/>
  <c r="BC211" i="1"/>
  <c r="BF210" i="1"/>
  <c r="BE210" i="1"/>
  <c r="BD210" i="1"/>
  <c r="BC210" i="1"/>
  <c r="BF209" i="1"/>
  <c r="BE209" i="1"/>
  <c r="BD209" i="1"/>
  <c r="BC209" i="1"/>
  <c r="BF208" i="1"/>
  <c r="BE208" i="1"/>
  <c r="BD208" i="1"/>
  <c r="BC208" i="1"/>
  <c r="BF207" i="1"/>
  <c r="BE207" i="1"/>
  <c r="BD207" i="1"/>
  <c r="BC207" i="1"/>
  <c r="BF206" i="1"/>
  <c r="BE206" i="1"/>
  <c r="BD206" i="1"/>
  <c r="BC206" i="1"/>
  <c r="BF205" i="1"/>
  <c r="BE205" i="1"/>
  <c r="BD205" i="1"/>
  <c r="BC205" i="1"/>
  <c r="BF204" i="1"/>
  <c r="BE204" i="1"/>
  <c r="BD204" i="1"/>
  <c r="BC204" i="1"/>
  <c r="BF203" i="1"/>
  <c r="BE203" i="1"/>
  <c r="BD203" i="1"/>
  <c r="BC203" i="1"/>
  <c r="BF202" i="1"/>
  <c r="BE202" i="1"/>
  <c r="BD202" i="1"/>
  <c r="BC202" i="1"/>
  <c r="BF201" i="1"/>
  <c r="BE201" i="1"/>
  <c r="BD201" i="1"/>
  <c r="BC201" i="1"/>
  <c r="BF200" i="1"/>
  <c r="BE200" i="1"/>
  <c r="BD200" i="1"/>
  <c r="BC200" i="1"/>
  <c r="BF199" i="1"/>
  <c r="BE199" i="1"/>
  <c r="BD199" i="1"/>
  <c r="BC199" i="1"/>
  <c r="BF198" i="1"/>
  <c r="BE198" i="1"/>
  <c r="BD198" i="1"/>
  <c r="BC198" i="1"/>
  <c r="BF197" i="1"/>
  <c r="BE197" i="1"/>
  <c r="BD197" i="1"/>
  <c r="BC197" i="1"/>
  <c r="BF196" i="1"/>
  <c r="BE196" i="1"/>
  <c r="BD196" i="1"/>
  <c r="BC196" i="1"/>
  <c r="BF195" i="1"/>
  <c r="BE195" i="1"/>
  <c r="BD195" i="1"/>
  <c r="BC195" i="1"/>
  <c r="BF194" i="1"/>
  <c r="BE194" i="1"/>
  <c r="BD194" i="1"/>
  <c r="BC194" i="1"/>
  <c r="BF193" i="1"/>
  <c r="BE193" i="1"/>
  <c r="BD193" i="1"/>
  <c r="BC193" i="1"/>
  <c r="BF192" i="1"/>
  <c r="BE192" i="1"/>
  <c r="BD192" i="1"/>
  <c r="BC192" i="1"/>
  <c r="BF191" i="1"/>
  <c r="BE191" i="1"/>
  <c r="BD191" i="1"/>
  <c r="BC191" i="1"/>
  <c r="BF190" i="1"/>
  <c r="BE190" i="1"/>
  <c r="BD190" i="1"/>
  <c r="BC190" i="1"/>
  <c r="BF189" i="1"/>
  <c r="BE189" i="1"/>
  <c r="BD189" i="1"/>
  <c r="BC189" i="1"/>
  <c r="BF188" i="1"/>
  <c r="BE188" i="1"/>
  <c r="BD188" i="1"/>
  <c r="BC188" i="1"/>
  <c r="BF187" i="1"/>
  <c r="BE187" i="1"/>
  <c r="BD187" i="1"/>
  <c r="BC187" i="1"/>
  <c r="BF186" i="1"/>
  <c r="BE186" i="1"/>
  <c r="BD186" i="1"/>
  <c r="BC186" i="1"/>
  <c r="BF185" i="1"/>
  <c r="BE185" i="1"/>
  <c r="BD185" i="1"/>
  <c r="BC185" i="1"/>
  <c r="BF184" i="1"/>
  <c r="BE184" i="1"/>
  <c r="BD184" i="1"/>
  <c r="BC184" i="1"/>
  <c r="BF183" i="1"/>
  <c r="BE183" i="1"/>
  <c r="BD183" i="1"/>
  <c r="BC183" i="1"/>
  <c r="BF182" i="1"/>
  <c r="BE182" i="1"/>
  <c r="BD182" i="1"/>
  <c r="BC182" i="1"/>
  <c r="BF181" i="1"/>
  <c r="BE181" i="1"/>
  <c r="BD181" i="1"/>
  <c r="BC181" i="1"/>
  <c r="BF180" i="1"/>
  <c r="BE180" i="1"/>
  <c r="BD180" i="1"/>
  <c r="BC180" i="1"/>
  <c r="BF179" i="1"/>
  <c r="BE179" i="1"/>
  <c r="BD179" i="1"/>
  <c r="BC179" i="1"/>
  <c r="BF178" i="1"/>
  <c r="BE178" i="1"/>
  <c r="BD178" i="1"/>
  <c r="BC178" i="1"/>
  <c r="BF177" i="1"/>
  <c r="BE177" i="1"/>
  <c r="BD177" i="1"/>
  <c r="BC177" i="1"/>
  <c r="BF176" i="1"/>
  <c r="BE176" i="1"/>
  <c r="BD176" i="1"/>
  <c r="BC176" i="1"/>
  <c r="BF175" i="1"/>
  <c r="BE175" i="1"/>
  <c r="BD175" i="1"/>
  <c r="BC175" i="1"/>
  <c r="BF174" i="1"/>
  <c r="BE174" i="1"/>
  <c r="BD174" i="1"/>
  <c r="BC174" i="1"/>
  <c r="BF173" i="1"/>
  <c r="BE173" i="1"/>
  <c r="BD173" i="1"/>
  <c r="BC173" i="1"/>
  <c r="BF172" i="1"/>
  <c r="BE172" i="1"/>
  <c r="BD172" i="1"/>
  <c r="BC172" i="1"/>
  <c r="BF171" i="1"/>
  <c r="BE171" i="1"/>
  <c r="BD171" i="1"/>
  <c r="BC171" i="1"/>
  <c r="BF170" i="1"/>
  <c r="BE170" i="1"/>
  <c r="BD170" i="1"/>
  <c r="BC170" i="1"/>
  <c r="BF169" i="1"/>
  <c r="BE169" i="1"/>
  <c r="BD169" i="1"/>
  <c r="BC169" i="1"/>
  <c r="BF168" i="1"/>
  <c r="BE168" i="1"/>
  <c r="BD168" i="1"/>
  <c r="BC168" i="1"/>
  <c r="BF167" i="1"/>
  <c r="BE167" i="1"/>
  <c r="BD167" i="1"/>
  <c r="BC167" i="1"/>
  <c r="BF166" i="1"/>
  <c r="BE166" i="1"/>
  <c r="BD166" i="1"/>
  <c r="BC166" i="1"/>
  <c r="BF165" i="1"/>
  <c r="BE165" i="1"/>
  <c r="BD165" i="1"/>
  <c r="BC165" i="1"/>
  <c r="BF164" i="1"/>
  <c r="BE164" i="1"/>
  <c r="BD164" i="1"/>
  <c r="BC164" i="1"/>
  <c r="BF163" i="1"/>
  <c r="BE163" i="1"/>
  <c r="BD163" i="1"/>
  <c r="BC163" i="1"/>
  <c r="BF162" i="1"/>
  <c r="BE162" i="1"/>
  <c r="BD162" i="1"/>
  <c r="BC162" i="1"/>
  <c r="BF161" i="1"/>
  <c r="BE161" i="1"/>
  <c r="BD161" i="1"/>
  <c r="BC161" i="1"/>
  <c r="BF160" i="1"/>
  <c r="BE160" i="1"/>
  <c r="BD160" i="1"/>
  <c r="BC160" i="1"/>
  <c r="BF159" i="1"/>
  <c r="BE159" i="1"/>
  <c r="BD159" i="1"/>
  <c r="BC159" i="1"/>
  <c r="BF158" i="1"/>
  <c r="BE158" i="1"/>
  <c r="BD158" i="1"/>
  <c r="BC158" i="1"/>
  <c r="BF157" i="1"/>
  <c r="BE157" i="1"/>
  <c r="BD157" i="1"/>
  <c r="BC157" i="1"/>
  <c r="BF156" i="1"/>
  <c r="BE156" i="1"/>
  <c r="BD156" i="1"/>
  <c r="BC156" i="1"/>
  <c r="BF155" i="1"/>
  <c r="BE155" i="1"/>
  <c r="BD155" i="1"/>
  <c r="BC155" i="1"/>
  <c r="BF154" i="1"/>
  <c r="BE154" i="1"/>
  <c r="BD154" i="1"/>
  <c r="BC154" i="1"/>
  <c r="BF153" i="1"/>
  <c r="BE153" i="1"/>
  <c r="BD153" i="1"/>
  <c r="BC153" i="1"/>
  <c r="BF152" i="1"/>
  <c r="BE152" i="1"/>
  <c r="BD152" i="1"/>
  <c r="BC152" i="1"/>
  <c r="BF151" i="1"/>
  <c r="BE151" i="1"/>
  <c r="BD151" i="1"/>
  <c r="BC151" i="1"/>
  <c r="BF150" i="1"/>
  <c r="BE150" i="1"/>
  <c r="BD150" i="1"/>
  <c r="BC150" i="1"/>
  <c r="BF149" i="1"/>
  <c r="BE149" i="1"/>
  <c r="BD149" i="1"/>
  <c r="BC149" i="1"/>
  <c r="BF148" i="1"/>
  <c r="BE148" i="1"/>
  <c r="BD148" i="1"/>
  <c r="BC148" i="1"/>
  <c r="BF147" i="1"/>
  <c r="BE147" i="1"/>
  <c r="BD147" i="1"/>
  <c r="BC147" i="1"/>
  <c r="BF146" i="1"/>
  <c r="BE146" i="1"/>
  <c r="BD146" i="1"/>
  <c r="BC146" i="1"/>
  <c r="BF145" i="1"/>
  <c r="BE145" i="1"/>
  <c r="BD145" i="1"/>
  <c r="BC145" i="1"/>
  <c r="BF144" i="1"/>
  <c r="BE144" i="1"/>
  <c r="BD144" i="1"/>
  <c r="BC144" i="1"/>
  <c r="BF143" i="1"/>
  <c r="BE143" i="1"/>
  <c r="BD143" i="1"/>
  <c r="BC143" i="1"/>
  <c r="BF142" i="1"/>
  <c r="BE142" i="1"/>
  <c r="BD142" i="1"/>
  <c r="BC142" i="1"/>
  <c r="BF141" i="1"/>
  <c r="BE141" i="1"/>
  <c r="BD141" i="1"/>
  <c r="BC141" i="1"/>
  <c r="BF140" i="1"/>
  <c r="BE140" i="1"/>
  <c r="BD140" i="1"/>
  <c r="BC140" i="1"/>
  <c r="BF139" i="1"/>
  <c r="BE139" i="1"/>
  <c r="BD139" i="1"/>
  <c r="BC139" i="1"/>
  <c r="BF138" i="1"/>
  <c r="BE138" i="1"/>
  <c r="BD138" i="1"/>
  <c r="BC138" i="1"/>
  <c r="BF137" i="1"/>
  <c r="BE137" i="1"/>
  <c r="BD137" i="1"/>
  <c r="BC137" i="1"/>
  <c r="BF136" i="1"/>
  <c r="BE136" i="1"/>
  <c r="BD136" i="1"/>
  <c r="BC136" i="1"/>
  <c r="BF135" i="1"/>
  <c r="BE135" i="1"/>
  <c r="BD135" i="1"/>
  <c r="BC135" i="1"/>
  <c r="BF134" i="1"/>
  <c r="BE134" i="1"/>
  <c r="BD134" i="1"/>
  <c r="BC134" i="1"/>
  <c r="BF133" i="1"/>
  <c r="BE133" i="1"/>
  <c r="BD133" i="1"/>
  <c r="BC133" i="1"/>
  <c r="BF132" i="1"/>
  <c r="BE132" i="1"/>
  <c r="BD132" i="1"/>
  <c r="BC132" i="1"/>
  <c r="BF131" i="1"/>
  <c r="BE131" i="1"/>
  <c r="BD131" i="1"/>
  <c r="BC131" i="1"/>
  <c r="BF130" i="1"/>
  <c r="BE130" i="1"/>
  <c r="BD130" i="1"/>
  <c r="BC130" i="1"/>
  <c r="BF129" i="1"/>
  <c r="BE129" i="1"/>
  <c r="BD129" i="1"/>
  <c r="BC129" i="1"/>
  <c r="BF128" i="1"/>
  <c r="BE128" i="1"/>
  <c r="BD128" i="1"/>
  <c r="BC128" i="1"/>
  <c r="BF127" i="1"/>
  <c r="BE127" i="1"/>
  <c r="BD127" i="1"/>
  <c r="BC127" i="1"/>
  <c r="BF126" i="1"/>
  <c r="BE126" i="1"/>
  <c r="BD126" i="1"/>
  <c r="BC126" i="1"/>
  <c r="BF125" i="1"/>
  <c r="BE125" i="1"/>
  <c r="BD125" i="1"/>
  <c r="BC125" i="1"/>
  <c r="BF124" i="1"/>
  <c r="BE124" i="1"/>
  <c r="BD124" i="1"/>
  <c r="BC124" i="1"/>
  <c r="BF123" i="1"/>
  <c r="BE123" i="1"/>
  <c r="BD123" i="1"/>
  <c r="BC123" i="1"/>
  <c r="BF122" i="1"/>
  <c r="BE122" i="1"/>
  <c r="BD122" i="1"/>
  <c r="BC122" i="1"/>
  <c r="BF121" i="1"/>
  <c r="BE121" i="1"/>
  <c r="BD121" i="1"/>
  <c r="BC121" i="1"/>
  <c r="BF120" i="1"/>
  <c r="BE120" i="1"/>
  <c r="BD120" i="1"/>
  <c r="BC120" i="1"/>
  <c r="BF119" i="1"/>
  <c r="BE119" i="1"/>
  <c r="BD119" i="1"/>
  <c r="BC119" i="1"/>
  <c r="BF118" i="1"/>
  <c r="BE118" i="1"/>
  <c r="BD118" i="1"/>
  <c r="BC118" i="1"/>
  <c r="BF117" i="1"/>
  <c r="BE117" i="1"/>
  <c r="BD117" i="1"/>
  <c r="BC117" i="1"/>
  <c r="BF116" i="1"/>
  <c r="BE116" i="1"/>
  <c r="BD116" i="1"/>
  <c r="BC116" i="1"/>
  <c r="BF115" i="1"/>
  <c r="BE115" i="1"/>
  <c r="BD115" i="1"/>
  <c r="BC115" i="1"/>
  <c r="BF114" i="1"/>
  <c r="BE114" i="1"/>
  <c r="BD114" i="1"/>
  <c r="BC114" i="1"/>
  <c r="BE73" i="1"/>
  <c r="BD73" i="1"/>
  <c r="BE72" i="1"/>
  <c r="BD72" i="1"/>
  <c r="BE71" i="1"/>
  <c r="BE70" i="1"/>
  <c r="BE69" i="1"/>
  <c r="BE68" i="1"/>
  <c r="BD68" i="1"/>
  <c r="BE67" i="1"/>
  <c r="BD67" i="1"/>
  <c r="BE66" i="1"/>
  <c r="BD66" i="1"/>
  <c r="BE65" i="1"/>
  <c r="BD65" i="1"/>
  <c r="BE64" i="1"/>
  <c r="BD64" i="1"/>
  <c r="BE63" i="1"/>
  <c r="BD63" i="1"/>
  <c r="BE62" i="1"/>
  <c r="BE61" i="1"/>
  <c r="BE60" i="1"/>
  <c r="BD60" i="1"/>
  <c r="BE59" i="1"/>
  <c r="BE58" i="1"/>
  <c r="BE57" i="1"/>
  <c r="BE56" i="1"/>
  <c r="BE55" i="1"/>
  <c r="BE54" i="1"/>
  <c r="BD54" i="1"/>
  <c r="BE53" i="1"/>
  <c r="BE52" i="1"/>
  <c r="BE51" i="1"/>
  <c r="BE50" i="1"/>
  <c r="BE49" i="1"/>
  <c r="BD49" i="1"/>
  <c r="BE48" i="1"/>
  <c r="BE47" i="1"/>
  <c r="BE46" i="1"/>
  <c r="BE45" i="1"/>
  <c r="BD45" i="1"/>
  <c r="BE44" i="1"/>
  <c r="BD44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H11" i="3"/>
  <c r="H12" i="3"/>
  <c r="H10" i="3"/>
  <c r="H14" i="3"/>
  <c r="H13" i="3"/>
  <c r="H15" i="3"/>
  <c r="H16" i="3"/>
  <c r="H17" i="3"/>
  <c r="H18" i="3"/>
  <c r="H19" i="3"/>
  <c r="H20" i="3"/>
  <c r="H21" i="3"/>
  <c r="H22" i="3"/>
  <c r="H23" i="3"/>
  <c r="H24" i="3"/>
  <c r="G11" i="3"/>
  <c r="G12" i="3"/>
  <c r="G10" i="3"/>
  <c r="G14" i="3"/>
  <c r="G13" i="3"/>
  <c r="G15" i="3"/>
  <c r="G16" i="3"/>
  <c r="G17" i="3"/>
  <c r="G18" i="3"/>
  <c r="G19" i="3"/>
  <c r="G20" i="3"/>
  <c r="G21" i="3"/>
  <c r="G22" i="3"/>
  <c r="G23" i="3"/>
  <c r="G24" i="3"/>
  <c r="I29" i="13" l="1"/>
  <c r="I28" i="13"/>
  <c r="I20" i="13"/>
  <c r="I13" i="13"/>
  <c r="I17" i="13"/>
  <c r="I14" i="13"/>
  <c r="I25" i="13"/>
  <c r="I30" i="13"/>
  <c r="I33" i="13"/>
  <c r="I34" i="13"/>
  <c r="Q29" i="13"/>
  <c r="Q28" i="13"/>
  <c r="Q20" i="13"/>
  <c r="Q13" i="13"/>
  <c r="Q17" i="13"/>
  <c r="Q14" i="13"/>
  <c r="Q25" i="13"/>
  <c r="Q30" i="13"/>
  <c r="Q33" i="13"/>
  <c r="Q34" i="13"/>
  <c r="I27" i="13"/>
  <c r="I15" i="13"/>
  <c r="I18" i="13"/>
  <c r="I26" i="13"/>
  <c r="I32" i="13"/>
  <c r="I31" i="13"/>
  <c r="I16" i="13"/>
  <c r="I19" i="13"/>
  <c r="I23" i="13"/>
  <c r="I24" i="13"/>
  <c r="Q27" i="13"/>
  <c r="Q15" i="13"/>
  <c r="Q18" i="13"/>
  <c r="Q26" i="13"/>
  <c r="Q32" i="13"/>
  <c r="Q31" i="13"/>
  <c r="Q16" i="13"/>
  <c r="Q19" i="13"/>
  <c r="Q23" i="13"/>
  <c r="Q24" i="13"/>
  <c r="I21" i="13"/>
  <c r="I22" i="13"/>
  <c r="I35" i="13"/>
  <c r="I36" i="13"/>
  <c r="I37" i="13"/>
  <c r="I38" i="13"/>
  <c r="I39" i="13"/>
  <c r="I40" i="13"/>
  <c r="I41" i="13"/>
  <c r="I42" i="13"/>
  <c r="Q21" i="13"/>
  <c r="Q22" i="13"/>
  <c r="Q35" i="13"/>
  <c r="Q36" i="13"/>
  <c r="Q37" i="13"/>
  <c r="Q38" i="13"/>
  <c r="Q39" i="13"/>
  <c r="Q40" i="13"/>
  <c r="Q41" i="13"/>
  <c r="Q42" i="13"/>
  <c r="I43" i="13"/>
  <c r="I44" i="13"/>
  <c r="I45" i="13"/>
  <c r="I46" i="13"/>
  <c r="I47" i="13"/>
  <c r="I48" i="13"/>
  <c r="I49" i="13"/>
  <c r="I50" i="13"/>
  <c r="I51" i="13"/>
  <c r="I52" i="13"/>
  <c r="Q43" i="13"/>
  <c r="Q44" i="13"/>
  <c r="Q45" i="13"/>
  <c r="Q46" i="13"/>
  <c r="Q47" i="13"/>
  <c r="Q48" i="13"/>
  <c r="Q49" i="13"/>
  <c r="Q50" i="13"/>
  <c r="Q51" i="13"/>
  <c r="Q52" i="13"/>
  <c r="I53" i="13"/>
  <c r="I54" i="13"/>
  <c r="I55" i="13"/>
  <c r="I56" i="13"/>
  <c r="I57" i="13"/>
  <c r="I58" i="13"/>
  <c r="I59" i="13"/>
  <c r="I60" i="13"/>
  <c r="I61" i="13"/>
  <c r="I62" i="13"/>
  <c r="Q53" i="13"/>
  <c r="Q54" i="13"/>
  <c r="Q55" i="13"/>
  <c r="Q56" i="13"/>
  <c r="Q57" i="13"/>
  <c r="Q58" i="13"/>
  <c r="Q59" i="13"/>
  <c r="Q60" i="13"/>
  <c r="Q61" i="13"/>
  <c r="Q62" i="13"/>
  <c r="I63" i="13"/>
  <c r="I64" i="13"/>
  <c r="I65" i="13"/>
  <c r="I66" i="13"/>
  <c r="I67" i="13"/>
  <c r="I68" i="13"/>
  <c r="I69" i="13"/>
  <c r="I70" i="13"/>
  <c r="I71" i="13"/>
  <c r="I72" i="13"/>
  <c r="Q63" i="13"/>
  <c r="Q64" i="13"/>
  <c r="Q65" i="13"/>
  <c r="Q66" i="13"/>
  <c r="Q67" i="13"/>
  <c r="Q68" i="13"/>
  <c r="Q69" i="13"/>
  <c r="Q70" i="13"/>
  <c r="Q71" i="13"/>
  <c r="Q72" i="13"/>
  <c r="D15" i="3"/>
  <c r="D16" i="3"/>
  <c r="D17" i="3"/>
  <c r="E15" i="3"/>
  <c r="E16" i="3"/>
  <c r="E17" i="3"/>
  <c r="F15" i="3"/>
  <c r="F16" i="3"/>
  <c r="F17" i="3"/>
  <c r="J15" i="3"/>
  <c r="J16" i="3"/>
  <c r="J17" i="3"/>
  <c r="K15" i="3"/>
  <c r="K16" i="3"/>
  <c r="K17" i="3"/>
  <c r="L15" i="3"/>
  <c r="L16" i="3"/>
  <c r="L17" i="3"/>
  <c r="M15" i="3"/>
  <c r="M16" i="3"/>
  <c r="M17" i="3"/>
  <c r="N15" i="3"/>
  <c r="N16" i="3"/>
  <c r="N17" i="3"/>
  <c r="O15" i="3"/>
  <c r="O16" i="3"/>
  <c r="O17" i="3"/>
  <c r="P15" i="3"/>
  <c r="P16" i="3"/>
  <c r="P17" i="3"/>
  <c r="R15" i="3"/>
  <c r="R16" i="3"/>
  <c r="R17" i="3"/>
  <c r="R11" i="3"/>
  <c r="R12" i="3"/>
  <c r="R10" i="3"/>
  <c r="R14" i="3"/>
  <c r="R13" i="3"/>
  <c r="R18" i="3"/>
  <c r="R19" i="3"/>
  <c r="R20" i="3"/>
  <c r="R21" i="3"/>
  <c r="R22" i="3"/>
  <c r="R23" i="3"/>
  <c r="R24" i="3"/>
  <c r="P11" i="3"/>
  <c r="P12" i="3"/>
  <c r="P10" i="3"/>
  <c r="P14" i="3"/>
  <c r="P13" i="3"/>
  <c r="P18" i="3"/>
  <c r="P19" i="3"/>
  <c r="P20" i="3"/>
  <c r="P21" i="3"/>
  <c r="P22" i="3"/>
  <c r="P23" i="3"/>
  <c r="P24" i="3"/>
  <c r="O11" i="3"/>
  <c r="O12" i="3"/>
  <c r="O10" i="3"/>
  <c r="O14" i="3"/>
  <c r="O13" i="3"/>
  <c r="O18" i="3"/>
  <c r="O19" i="3"/>
  <c r="O20" i="3"/>
  <c r="O21" i="3"/>
  <c r="O22" i="3"/>
  <c r="O23" i="3"/>
  <c r="O24" i="3"/>
  <c r="N11" i="3"/>
  <c r="N12" i="3"/>
  <c r="N10" i="3"/>
  <c r="N14" i="3"/>
  <c r="N13" i="3"/>
  <c r="N18" i="3"/>
  <c r="N19" i="3"/>
  <c r="N20" i="3"/>
  <c r="N21" i="3"/>
  <c r="N22" i="3"/>
  <c r="N23" i="3"/>
  <c r="N24" i="3"/>
  <c r="M11" i="3"/>
  <c r="M12" i="3"/>
  <c r="M10" i="3"/>
  <c r="M14" i="3"/>
  <c r="M13" i="3"/>
  <c r="M18" i="3"/>
  <c r="M19" i="3"/>
  <c r="M20" i="3"/>
  <c r="M21" i="3"/>
  <c r="M22" i="3"/>
  <c r="M23" i="3"/>
  <c r="M24" i="3"/>
  <c r="L11" i="3"/>
  <c r="L12" i="3"/>
  <c r="L10" i="3"/>
  <c r="L14" i="3"/>
  <c r="L13" i="3"/>
  <c r="L18" i="3"/>
  <c r="L19" i="3"/>
  <c r="L20" i="3"/>
  <c r="L21" i="3"/>
  <c r="L22" i="3"/>
  <c r="L23" i="3"/>
  <c r="L24" i="3"/>
  <c r="K11" i="3"/>
  <c r="K12" i="3"/>
  <c r="K10" i="3"/>
  <c r="K14" i="3"/>
  <c r="K13" i="3"/>
  <c r="K18" i="3"/>
  <c r="K19" i="3"/>
  <c r="K20" i="3"/>
  <c r="K21" i="3"/>
  <c r="K22" i="3"/>
  <c r="K23" i="3"/>
  <c r="K24" i="3"/>
  <c r="J11" i="3"/>
  <c r="J12" i="3"/>
  <c r="J10" i="3"/>
  <c r="J14" i="3"/>
  <c r="J13" i="3"/>
  <c r="J18" i="3"/>
  <c r="J19" i="3"/>
  <c r="J20" i="3"/>
  <c r="J21" i="3"/>
  <c r="J22" i="3"/>
  <c r="J23" i="3"/>
  <c r="J24" i="3"/>
  <c r="I14" i="3"/>
  <c r="F11" i="3"/>
  <c r="F12" i="3"/>
  <c r="F10" i="3"/>
  <c r="F14" i="3"/>
  <c r="F13" i="3"/>
  <c r="F18" i="3"/>
  <c r="F19" i="3"/>
  <c r="F20" i="3"/>
  <c r="F21" i="3"/>
  <c r="F22" i="3"/>
  <c r="F23" i="3"/>
  <c r="F24" i="3"/>
  <c r="E11" i="3"/>
  <c r="E12" i="3"/>
  <c r="E10" i="3"/>
  <c r="E14" i="3"/>
  <c r="E13" i="3"/>
  <c r="E18" i="3"/>
  <c r="E19" i="3"/>
  <c r="E20" i="3"/>
  <c r="E21" i="3"/>
  <c r="E22" i="3"/>
  <c r="E23" i="3"/>
  <c r="E24" i="3"/>
  <c r="D11" i="3"/>
  <c r="D12" i="3"/>
  <c r="D10" i="3"/>
  <c r="D14" i="3"/>
  <c r="D13" i="3"/>
  <c r="D18" i="3"/>
  <c r="D19" i="3"/>
  <c r="D20" i="3"/>
  <c r="D21" i="3"/>
  <c r="D22" i="3"/>
  <c r="D23" i="3"/>
  <c r="D24" i="3"/>
  <c r="L39" i="18"/>
  <c r="K39" i="18"/>
  <c r="J39" i="18"/>
  <c r="I39" i="18"/>
  <c r="H39" i="18"/>
  <c r="L38" i="18"/>
  <c r="K38" i="18"/>
  <c r="J38" i="18"/>
  <c r="I38" i="18"/>
  <c r="H38" i="18"/>
  <c r="L37" i="18"/>
  <c r="K37" i="18"/>
  <c r="J37" i="18"/>
  <c r="I37" i="18"/>
  <c r="H37" i="18"/>
  <c r="L36" i="18"/>
  <c r="K36" i="18"/>
  <c r="J36" i="18"/>
  <c r="I36" i="18"/>
  <c r="H36" i="18"/>
  <c r="L35" i="18"/>
  <c r="K35" i="18"/>
  <c r="J35" i="18"/>
  <c r="I35" i="18"/>
  <c r="H35" i="18"/>
  <c r="L34" i="18"/>
  <c r="K34" i="18"/>
  <c r="J34" i="18"/>
  <c r="I34" i="18"/>
  <c r="H34" i="18"/>
  <c r="L33" i="18"/>
  <c r="K33" i="18"/>
  <c r="J33" i="18"/>
  <c r="I33" i="18"/>
  <c r="L32" i="18"/>
  <c r="K32" i="18"/>
  <c r="J32" i="18"/>
  <c r="I32" i="18"/>
  <c r="L31" i="18"/>
  <c r="K31" i="18"/>
  <c r="J31" i="18"/>
  <c r="I31" i="18"/>
  <c r="L30" i="18"/>
  <c r="K30" i="18"/>
  <c r="J30" i="18"/>
  <c r="I30" i="18"/>
  <c r="L29" i="18"/>
  <c r="K29" i="18"/>
  <c r="J29" i="18"/>
  <c r="I29" i="18"/>
  <c r="L28" i="18"/>
  <c r="K28" i="18"/>
  <c r="J28" i="18"/>
  <c r="I28" i="18"/>
  <c r="L27" i="18"/>
  <c r="K27" i="18"/>
  <c r="J27" i="18"/>
  <c r="I27" i="18"/>
  <c r="L26" i="18"/>
  <c r="K26" i="18"/>
  <c r="J26" i="18"/>
  <c r="I26" i="18"/>
  <c r="L25" i="18"/>
  <c r="K25" i="18"/>
  <c r="J25" i="18"/>
  <c r="I25" i="18"/>
  <c r="L24" i="18"/>
  <c r="K24" i="18"/>
  <c r="J24" i="18"/>
  <c r="I24" i="18"/>
  <c r="L23" i="18"/>
  <c r="K23" i="18"/>
  <c r="J23" i="18"/>
  <c r="I23" i="18"/>
  <c r="L22" i="18"/>
  <c r="K22" i="18"/>
  <c r="J22" i="18"/>
  <c r="I22" i="18"/>
  <c r="L21" i="18"/>
  <c r="K21" i="18"/>
  <c r="J21" i="18"/>
  <c r="I21" i="18"/>
  <c r="L20" i="18"/>
  <c r="K20" i="18"/>
  <c r="J20" i="18"/>
  <c r="I20" i="18"/>
  <c r="L19" i="18"/>
  <c r="K19" i="18"/>
  <c r="J19" i="18"/>
  <c r="I19" i="18"/>
  <c r="L18" i="18"/>
  <c r="K18" i="18"/>
  <c r="J18" i="18"/>
  <c r="I18" i="18"/>
  <c r="L17" i="18"/>
  <c r="K17" i="18"/>
  <c r="J17" i="18"/>
  <c r="I17" i="18"/>
  <c r="L16" i="18"/>
  <c r="K16" i="18"/>
  <c r="J16" i="18"/>
  <c r="I16" i="18"/>
  <c r="L15" i="18"/>
  <c r="K15" i="18"/>
  <c r="J15" i="18"/>
  <c r="I15" i="18"/>
  <c r="L14" i="18"/>
  <c r="K14" i="18"/>
  <c r="J14" i="18"/>
  <c r="I14" i="18"/>
  <c r="L13" i="18"/>
  <c r="K13" i="18"/>
  <c r="J13" i="18"/>
  <c r="I13" i="18"/>
  <c r="L12" i="18"/>
  <c r="K12" i="18"/>
  <c r="J12" i="18"/>
  <c r="I12" i="18"/>
  <c r="L11" i="18"/>
  <c r="K11" i="18"/>
  <c r="J11" i="18"/>
  <c r="I11" i="18"/>
  <c r="L10" i="18"/>
  <c r="K10" i="18"/>
  <c r="J10" i="18"/>
  <c r="I10" i="18"/>
  <c r="L9" i="18"/>
  <c r="K9" i="18"/>
  <c r="J9" i="18"/>
  <c r="I9" i="18"/>
  <c r="L8" i="18"/>
  <c r="K8" i="18"/>
  <c r="J8" i="18"/>
  <c r="I8" i="18"/>
  <c r="C8" i="18"/>
  <c r="C9" i="18" s="1"/>
  <c r="L7" i="18"/>
  <c r="K7" i="18"/>
  <c r="J7" i="18"/>
  <c r="I7" i="18"/>
  <c r="H7" i="18"/>
  <c r="L39" i="11"/>
  <c r="K39" i="11"/>
  <c r="J39" i="11"/>
  <c r="I39" i="11"/>
  <c r="H39" i="11"/>
  <c r="L38" i="11"/>
  <c r="K38" i="11"/>
  <c r="J38" i="11"/>
  <c r="I38" i="11"/>
  <c r="H38" i="11"/>
  <c r="L37" i="11"/>
  <c r="K37" i="11"/>
  <c r="J37" i="11"/>
  <c r="I37" i="11"/>
  <c r="H37" i="11"/>
  <c r="L36" i="11"/>
  <c r="K36" i="11"/>
  <c r="J36" i="11"/>
  <c r="I36" i="11"/>
  <c r="H36" i="11"/>
  <c r="L35" i="11"/>
  <c r="K35" i="11"/>
  <c r="J35" i="11"/>
  <c r="I35" i="11"/>
  <c r="H35" i="11"/>
  <c r="L34" i="11"/>
  <c r="K34" i="11"/>
  <c r="J34" i="11"/>
  <c r="I34" i="11"/>
  <c r="H34" i="11"/>
  <c r="C8" i="1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H7" i="11"/>
  <c r="AR12" i="1"/>
  <c r="AG12" i="1"/>
  <c r="J2" i="11"/>
  <c r="AO2" i="12"/>
  <c r="J2" i="3"/>
  <c r="Q83" i="13"/>
  <c r="I83" i="13"/>
  <c r="Q82" i="13"/>
  <c r="I82" i="13"/>
  <c r="Q81" i="13"/>
  <c r="I81" i="13"/>
  <c r="Q80" i="13"/>
  <c r="I80" i="13"/>
  <c r="Q79" i="13"/>
  <c r="I79" i="13"/>
  <c r="Q78" i="13"/>
  <c r="I78" i="13"/>
  <c r="Q77" i="13"/>
  <c r="I77" i="13"/>
  <c r="Q76" i="13"/>
  <c r="I76" i="13"/>
  <c r="Q75" i="13"/>
  <c r="I75" i="13"/>
  <c r="Q74" i="13"/>
  <c r="I74" i="13"/>
  <c r="Q73" i="13"/>
  <c r="I73" i="13"/>
  <c r="Q12" i="13"/>
  <c r="I12" i="13"/>
  <c r="Q10" i="13"/>
  <c r="I10" i="13"/>
  <c r="Q11" i="13"/>
  <c r="I11" i="13"/>
  <c r="AS2" i="12"/>
  <c r="B68" i="12"/>
  <c r="AS4" i="12"/>
  <c r="K4" i="11"/>
  <c r="K2" i="3"/>
  <c r="K2" i="11"/>
  <c r="L33" i="11"/>
  <c r="K33" i="11"/>
  <c r="J33" i="11"/>
  <c r="I33" i="11"/>
  <c r="L32" i="11"/>
  <c r="K32" i="11"/>
  <c r="J32" i="11"/>
  <c r="I32" i="11"/>
  <c r="L31" i="11"/>
  <c r="K31" i="11"/>
  <c r="J31" i="11"/>
  <c r="I31" i="11"/>
  <c r="L30" i="11"/>
  <c r="K30" i="11"/>
  <c r="J30" i="11"/>
  <c r="I30" i="11"/>
  <c r="L29" i="11"/>
  <c r="K29" i="11"/>
  <c r="J29" i="11"/>
  <c r="I29" i="11"/>
  <c r="L28" i="11"/>
  <c r="K28" i="11"/>
  <c r="J28" i="11"/>
  <c r="I28" i="11"/>
  <c r="L27" i="11"/>
  <c r="K27" i="11"/>
  <c r="J27" i="11"/>
  <c r="I27" i="11"/>
  <c r="L26" i="11"/>
  <c r="K26" i="11"/>
  <c r="J26" i="11"/>
  <c r="I26" i="11"/>
  <c r="L25" i="11"/>
  <c r="K25" i="11"/>
  <c r="J25" i="11"/>
  <c r="I25" i="11"/>
  <c r="L24" i="11"/>
  <c r="K24" i="11"/>
  <c r="J24" i="11"/>
  <c r="I24" i="11"/>
  <c r="L23" i="11"/>
  <c r="K23" i="11"/>
  <c r="J23" i="11"/>
  <c r="I23" i="11"/>
  <c r="L22" i="11"/>
  <c r="K22" i="11"/>
  <c r="J22" i="11"/>
  <c r="I22" i="11"/>
  <c r="L21" i="11"/>
  <c r="K21" i="11"/>
  <c r="J21" i="11"/>
  <c r="I21" i="11"/>
  <c r="L20" i="11"/>
  <c r="K20" i="11"/>
  <c r="J20" i="11"/>
  <c r="I20" i="11"/>
  <c r="L19" i="11"/>
  <c r="K19" i="11"/>
  <c r="J19" i="11"/>
  <c r="I19" i="11"/>
  <c r="L18" i="11"/>
  <c r="K18" i="11"/>
  <c r="J18" i="11"/>
  <c r="I18" i="11"/>
  <c r="L17" i="11"/>
  <c r="K17" i="11"/>
  <c r="J17" i="11"/>
  <c r="I17" i="11"/>
  <c r="L16" i="11"/>
  <c r="K16" i="11"/>
  <c r="J16" i="11"/>
  <c r="I16" i="11"/>
  <c r="L15" i="11"/>
  <c r="K15" i="11"/>
  <c r="J15" i="11"/>
  <c r="I15" i="11"/>
  <c r="L14" i="11"/>
  <c r="K14" i="11"/>
  <c r="J14" i="11"/>
  <c r="I14" i="11"/>
  <c r="L13" i="11"/>
  <c r="K13" i="11"/>
  <c r="J13" i="11"/>
  <c r="I13" i="11"/>
  <c r="L12" i="11"/>
  <c r="K12" i="11"/>
  <c r="J12" i="11"/>
  <c r="I12" i="11"/>
  <c r="L11" i="11"/>
  <c r="K11" i="11"/>
  <c r="J11" i="11"/>
  <c r="I11" i="11"/>
  <c r="L10" i="11"/>
  <c r="K10" i="11"/>
  <c r="J10" i="11"/>
  <c r="I10" i="11"/>
  <c r="L9" i="11"/>
  <c r="K9" i="11"/>
  <c r="J9" i="11"/>
  <c r="I9" i="11"/>
  <c r="L8" i="11"/>
  <c r="K8" i="11"/>
  <c r="J8" i="11"/>
  <c r="I8" i="11"/>
  <c r="L7" i="11"/>
  <c r="K7" i="11"/>
  <c r="J7" i="11"/>
  <c r="I7" i="11"/>
  <c r="AM13" i="1"/>
  <c r="B79" i="1"/>
  <c r="B80" i="1" s="1"/>
  <c r="B81" i="1" s="1"/>
  <c r="B82" i="1" s="1"/>
  <c r="AR10" i="1"/>
  <c r="AG10" i="1"/>
  <c r="AE375" i="1"/>
  <c r="W375" i="1"/>
  <c r="AE374" i="1"/>
  <c r="W374" i="1"/>
  <c r="AE373" i="1"/>
  <c r="W373" i="1"/>
  <c r="AE372" i="1"/>
  <c r="W372" i="1"/>
  <c r="AE371" i="1"/>
  <c r="W371" i="1"/>
  <c r="AE370" i="1"/>
  <c r="W370" i="1"/>
  <c r="AE369" i="1"/>
  <c r="W369" i="1"/>
  <c r="AE368" i="1"/>
  <c r="W368" i="1"/>
  <c r="AE367" i="1"/>
  <c r="W367" i="1"/>
  <c r="AE366" i="1"/>
  <c r="W366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AR8" i="1"/>
  <c r="AR9" i="1"/>
  <c r="AR11" i="1"/>
  <c r="AG8" i="1"/>
  <c r="W68" i="12" s="1"/>
  <c r="AG9" i="1"/>
  <c r="AG11" i="1"/>
  <c r="D13" i="5"/>
  <c r="Q10" i="3" l="1"/>
  <c r="Q23" i="3"/>
  <c r="I18" i="3"/>
  <c r="I15" i="3"/>
  <c r="I24" i="3"/>
  <c r="Q17" i="3"/>
  <c r="Q16" i="3"/>
  <c r="I23" i="3"/>
  <c r="I17" i="3"/>
  <c r="I16" i="3"/>
  <c r="I20" i="3"/>
  <c r="I11" i="3"/>
  <c r="Q12" i="3"/>
  <c r="Q18" i="3"/>
  <c r="I13" i="3"/>
  <c r="Q15" i="3"/>
  <c r="Q14" i="3"/>
  <c r="I10" i="3"/>
  <c r="Q11" i="3"/>
  <c r="I12" i="3"/>
  <c r="Q24" i="3"/>
  <c r="Q13" i="3"/>
  <c r="Q22" i="3"/>
  <c r="Q21" i="3"/>
  <c r="Q20" i="3"/>
  <c r="Q19" i="3"/>
  <c r="I22" i="3"/>
  <c r="I21" i="3"/>
  <c r="I19" i="3"/>
  <c r="H9" i="18"/>
  <c r="C10" i="18"/>
  <c r="H8" i="18"/>
  <c r="H10" i="11"/>
  <c r="H8" i="11"/>
  <c r="H9" i="11"/>
  <c r="H10" i="18" l="1"/>
  <c r="C11" i="18"/>
  <c r="H11" i="11"/>
  <c r="H11" i="18" l="1"/>
  <c r="C12" i="18"/>
  <c r="H12" i="11"/>
  <c r="C13" i="18" l="1"/>
  <c r="H12" i="18"/>
  <c r="H13" i="11"/>
  <c r="H13" i="18" l="1"/>
  <c r="C14" i="18"/>
  <c r="H14" i="11"/>
  <c r="H14" i="18" l="1"/>
  <c r="C15" i="18"/>
  <c r="H15" i="11"/>
  <c r="H15" i="18" l="1"/>
  <c r="C16" i="18"/>
  <c r="H16" i="11"/>
  <c r="C17" i="18" l="1"/>
  <c r="H16" i="18"/>
  <c r="H17" i="11"/>
  <c r="H17" i="18" l="1"/>
  <c r="C18" i="18"/>
  <c r="H18" i="11"/>
  <c r="H18" i="18" l="1"/>
  <c r="C19" i="18"/>
  <c r="H19" i="11"/>
  <c r="C20" i="18" l="1"/>
  <c r="H19" i="18"/>
  <c r="H20" i="11"/>
  <c r="C21" i="18" l="1"/>
  <c r="H20" i="18"/>
  <c r="H21" i="11"/>
  <c r="H21" i="18" l="1"/>
  <c r="C22" i="18"/>
  <c r="H22" i="11"/>
  <c r="H22" i="18" l="1"/>
  <c r="C23" i="18"/>
  <c r="H23" i="11"/>
  <c r="H23" i="18" l="1"/>
  <c r="C24" i="18"/>
  <c r="H24" i="11"/>
  <c r="C25" i="18" l="1"/>
  <c r="H24" i="18"/>
  <c r="H25" i="11"/>
  <c r="H25" i="18" l="1"/>
  <c r="C26" i="18"/>
  <c r="H26" i="11"/>
  <c r="H26" i="18" l="1"/>
  <c r="C27" i="18"/>
  <c r="H27" i="11"/>
  <c r="C28" i="18" l="1"/>
  <c r="H27" i="18"/>
  <c r="H28" i="11"/>
  <c r="C29" i="18" l="1"/>
  <c r="H28" i="18"/>
  <c r="H29" i="11"/>
  <c r="H29" i="18" l="1"/>
  <c r="C30" i="18"/>
  <c r="H30" i="11"/>
  <c r="H30" i="18" l="1"/>
  <c r="C31" i="18"/>
  <c r="H31" i="11"/>
  <c r="C32" i="18" l="1"/>
  <c r="H31" i="18"/>
  <c r="H33" i="11"/>
  <c r="H32" i="11"/>
  <c r="C33" i="18" l="1"/>
  <c r="H32" i="18"/>
  <c r="H33" i="18" l="1"/>
  <c r="C34" i="18"/>
  <c r="C35" i="18" s="1"/>
  <c r="C36" i="18" s="1"/>
  <c r="C37" i="18" s="1"/>
  <c r="C38" i="18" s="1"/>
  <c r="C39" i="18" s="1"/>
</calcChain>
</file>

<file path=xl/sharedStrings.xml><?xml version="1.0" encoding="utf-8"?>
<sst xmlns="http://schemas.openxmlformats.org/spreadsheetml/2006/main" count="1479" uniqueCount="1144">
  <si>
    <t xml:space="preserve">PEX </t>
  </si>
  <si>
    <t>SI</t>
  </si>
  <si>
    <t>Planejamento Executivo</t>
  </si>
  <si>
    <t>Rev. PEX</t>
  </si>
  <si>
    <t>1.</t>
  </si>
  <si>
    <t>IDENTIFICAÇÃO DA INTERVENÇÃO</t>
  </si>
  <si>
    <t>Responsável</t>
  </si>
  <si>
    <t>DOUGLAS HIGINO DOS SANTOS</t>
  </si>
  <si>
    <r>
      <rPr>
        <b/>
        <sz val="8.5"/>
        <color rgb="FF000000"/>
        <rFont val="Verdana"/>
        <family val="2"/>
      </rPr>
      <t>ID SAP</t>
    </r>
    <r>
      <rPr>
        <sz val="5"/>
        <color rgb="FF000000"/>
        <rFont val="Verdana"/>
        <family val="2"/>
      </rPr>
      <t xml:space="preserve"> </t>
    </r>
    <r>
      <rPr>
        <sz val="5"/>
        <color theme="0" tint="-0.499984740745262"/>
        <rFont val="Verdana"/>
        <family val="2"/>
      </rPr>
      <t>(ou CPF)</t>
    </r>
    <r>
      <rPr>
        <sz val="8.5"/>
        <rFont val="Verdana"/>
        <family val="2"/>
      </rPr>
      <t>:</t>
    </r>
  </si>
  <si>
    <t xml:space="preserve">Contato: </t>
  </si>
  <si>
    <t>Substituto</t>
  </si>
  <si>
    <t>DIEGO MAZZAGA ALMEIDA DE OLIVEIRA</t>
  </si>
  <si>
    <t>Fiscal Técnico</t>
  </si>
  <si>
    <t>Coordenador</t>
  </si>
  <si>
    <t>Técnico Seg.</t>
  </si>
  <si>
    <t>Período</t>
  </si>
  <si>
    <t>a</t>
  </si>
  <si>
    <t>Periodicidade</t>
  </si>
  <si>
    <t>Contínuo</t>
  </si>
  <si>
    <t>Diário</t>
  </si>
  <si>
    <t>Instalação</t>
  </si>
  <si>
    <t>BNB</t>
  </si>
  <si>
    <t>Equipamentos</t>
  </si>
  <si>
    <t>34C1-5</t>
  </si>
  <si>
    <t>Resumo da Atividade</t>
  </si>
  <si>
    <t>Equipe OOTFB.C-SE, com apoio do O&amp;M BNB, realizar correção de NCT crítica* na chave 34C1-5 BNB com LT 04C1 RSD/BNB desenergizada, isolada e aterrada. *NCT crítica documentada no RIT: OOTFB.C.247.2025.</t>
  </si>
  <si>
    <t>Configuração</t>
  </si>
  <si>
    <r>
      <t>Recebimento</t>
    </r>
    <r>
      <rPr>
        <b/>
        <sz val="9"/>
        <color theme="1"/>
        <rFont val="Verdana"/>
        <family val="2"/>
      </rPr>
      <t>:</t>
    </r>
  </si>
  <si>
    <t>LT 04C1 BNB/RSD desenergizada, isolada e aterrada.
# Terminal de BNB:
- Disjuntor 14C1 aberto;
- Chaves seccionadoras 34C1-4 e 34C1-5 abertas e bloqueadas;
- Chave by-pass 34C1-6 aberta e bloqueada;
- Lâmina de terra 34C1-7 fechada.
# Terminal de RSD:
- Disjuntor 14C1 aberto;
- Chave seccionadora 34C1-5 aberta e bloqueada;
- Chave by-pass 34C1-6 aberta e bloqueada;
- Lâmina de terra 34C1-7 fechada.</t>
  </si>
  <si>
    <r>
      <t>Durante:</t>
    </r>
    <r>
      <rPr>
        <sz val="9"/>
        <color theme="1"/>
        <rFont val="Verdana"/>
        <family val="2"/>
      </rPr>
      <t xml:space="preserve"> </t>
    </r>
  </si>
  <si>
    <t>A chave seccionadora 34C1-5 BNB será manobrada durante a intervenção.</t>
  </si>
  <si>
    <t>Devolução:</t>
  </si>
  <si>
    <t>A chave 34C1-5 BNB pode ser devolvida fechada.
Após a conclusão das atividades, a LT 04C1-BNB/RSD será energizada em teste antes da devolução para o ONS.</t>
  </si>
  <si>
    <t>Aterramento</t>
  </si>
  <si>
    <t>Durante a intervenção serão instalados os seguintes aterramentos móveis temporários:</t>
  </si>
  <si>
    <t>- Nos pulos de interligação entre 34C1-5 e 94C1 (fases ABC);
- Nos pulos de interligação entre 34C1-5 e 14C1 (fases ABC);</t>
  </si>
  <si>
    <t>Total: 06 unidades</t>
  </si>
  <si>
    <t>Informações adicionais / Outras atividades previstas:</t>
  </si>
  <si>
    <t>1. Verificação das Configurações Prévias à Intervenção</t>
  </si>
  <si>
    <t>As configurações necessárias para a intervenção estão descritas na "SI" e devem ser confirmadas por todos os envolvidos durante o recebimento (condições das chaves, disjuntores, pontos de aterramento, etc);</t>
  </si>
  <si>
    <t>2. Atenção à Distância de Segurança (D)</t>
  </si>
  <si>
    <t>É o afastamento mínimo no ar entre o trabalhador (ou suas ferramentas/instrumentos) e a parte energizada, de forma a evitar risco de descarga elétrica.</t>
  </si>
  <si>
    <r>
      <t xml:space="preserve">É calculada pela fórmula: </t>
    </r>
    <r>
      <rPr>
        <b/>
        <sz val="9"/>
        <color theme="1"/>
        <rFont val="Verdana"/>
        <family val="2"/>
      </rPr>
      <t>D = d1 + d2</t>
    </r>
  </si>
  <si>
    <t>Onde:</t>
  </si>
  <si>
    <r>
      <t>d1 = Distância de Segurança Básica ou Valor de Base</t>
    </r>
    <r>
      <rPr>
        <sz val="9"/>
        <color theme="1"/>
        <rFont val="Verdana"/>
        <family val="2"/>
      </rPr>
      <t xml:space="preserve"> Menor distância em qualquer direção, entre executante dos trabalhos, inclusive suas ferramentas, e o ponto energizado mais próximo (tabela do Anexo I da NM-MN-SE-S.002).</t>
    </r>
  </si>
  <si>
    <r>
      <t>d2 = Distância de Segurança Variável</t>
    </r>
    <r>
      <rPr>
        <sz val="9"/>
        <color theme="1"/>
        <rFont val="Verdana"/>
        <family val="2"/>
      </rPr>
      <t>: Distância requerida para movimentação do pessoal manipulando instrumentos ou ferramentas, sem invadir a distância d1.</t>
    </r>
  </si>
  <si>
    <t>Observação Importante:</t>
  </si>
  <si>
    <t>Devido à imprecisão dos movimentos humanos, recomenda-se acrescentar uma margem de segurança de pelo menos 50% sobre o valor de d2.</t>
  </si>
  <si>
    <t>Níveis de tensão fase-fase (kV)</t>
  </si>
  <si>
    <r>
      <t xml:space="preserve">d1 </t>
    </r>
    <r>
      <rPr>
        <sz val="8"/>
        <color rgb="FF000000"/>
        <rFont val="Verdana"/>
        <family val="2"/>
      </rPr>
      <t>(m)</t>
    </r>
  </si>
  <si>
    <r>
      <t xml:space="preserve">d2+50% </t>
    </r>
    <r>
      <rPr>
        <sz val="8"/>
        <color rgb="FF000000"/>
        <rFont val="Verdana"/>
        <family val="2"/>
      </rPr>
      <t>(m)</t>
    </r>
  </si>
  <si>
    <r>
      <t xml:space="preserve">D </t>
    </r>
    <r>
      <rPr>
        <sz val="8"/>
        <color rgb="FF000000"/>
        <rFont val="Verdana"/>
        <family val="2"/>
      </rPr>
      <t>(m)</t>
    </r>
  </si>
  <si>
    <t>2,1 a 15,0</t>
  </si>
  <si>
    <t>46,1 a 72,5</t>
  </si>
  <si>
    <t>230,0 a 242,0</t>
  </si>
  <si>
    <t>500,0 a 552,0</t>
  </si>
  <si>
    <t>2.</t>
  </si>
  <si>
    <t>DADOS PARA PLANEJAMENTO DA INTERVENÇÃO</t>
  </si>
  <si>
    <t>Categoria</t>
  </si>
  <si>
    <t>Instruções / Detalhes</t>
  </si>
  <si>
    <t>Responsabilidade do Encarregado</t>
  </si>
  <si>
    <t>▪ Avaliar o nível de prontidão física e emocional de todos os membros da equipe antes do início dos trabalhos;</t>
  </si>
  <si>
    <t>▪ Discutir com a equipe os procedimentos a serem adotados;</t>
  </si>
  <si>
    <t>▪ O Encarregado da equipe deve manter em tempo integral a supervisão da atividade. Caso essa supervisão seja interrompida, o encarregado deve paralisar a atividade, comunicando a toda a equipe de forma verbal e incisiva;</t>
  </si>
  <si>
    <t>▪ Todos os movimentos e ações devem ser precedidos da voz de comando do Encarregado da equipe executiva.</t>
  </si>
  <si>
    <t>Antes do Início dos Trabalhos</t>
  </si>
  <si>
    <t>▪ Realizar o checklist dos maquinários e veículos utilizados, usando o APP disponibilizado pelo setor de frota.</t>
  </si>
  <si>
    <t>▪ Verificar integridade de materiais, EPIs e EPCs;</t>
  </si>
  <si>
    <t>▪ Garantir kit de primeiros socorros disponível;</t>
  </si>
  <si>
    <t>▪ Verificar condições físicas e emocionais de todos os participantes para perfeita execução das atividades;</t>
  </si>
  <si>
    <t>▪ Posicionar veículo para atendimento à acidentados afastados do local de trabalho, com fácil acesso à pista de saída da instalação.</t>
  </si>
  <si>
    <t>Durante a Execução</t>
  </si>
  <si>
    <t>▪ Seguir comandos claros e diretos do Encarregado;</t>
  </si>
  <si>
    <t>▪ Usar corretamente os EPIs e EPCs, especialmente durante escaladas (conforme IM-MN-LT-M.080);</t>
  </si>
  <si>
    <t>▪ Evitar quedas de ferramentas e materiais em altura;</t>
  </si>
  <si>
    <t>▪ Manter o foco: não fumar, não usar adornos, evitar conversas paralelas;</t>
  </si>
  <si>
    <t>▪ Atentar-se às distâncias de segurança (NM-MN-LT-L.002);</t>
  </si>
  <si>
    <t>▪ Cuidar da própria segurança, dos colegas e permitir que cuidem de você.</t>
  </si>
  <si>
    <t>Movimentação Pessoas, Veículos e Máquinas</t>
  </si>
  <si>
    <t>▪ Não transpor canaletas;</t>
  </si>
  <si>
    <t>▪ Manter distância segura de partes energizadas;</t>
  </si>
  <si>
    <t>▪ Não pisar sobre tampas de concreto.</t>
  </si>
  <si>
    <t>Delimitação da Área de Trabalho</t>
  </si>
  <si>
    <t>▪ Sinalizar e isolar a área desenergizada com cones e fitas, conforme IN-OP.01.010.</t>
  </si>
  <si>
    <t>Troca de Profissionais</t>
  </si>
  <si>
    <t>▪ Evitar substituições durante manutenções em painéis ou equipamentos.</t>
  </si>
  <si>
    <t>Objetos Pessoais</t>
  </si>
  <si>
    <t>▪ Evitar o uso de itens que possam representar risco: anéis, correntes, óculos metálicos, relógios, pulseiras, celulares etc.</t>
  </si>
  <si>
    <t>Controle de Acesso</t>
  </si>
  <si>
    <t>▪ Restringir a presença de pessoas não envolvidas dentro da área de intervenção.</t>
  </si>
  <si>
    <t>Conduta na Área de Trabalho</t>
  </si>
  <si>
    <t>▪ Não se apoiar ou utilizar como suporte qualquer equipamento ou estrutura adjacente ao local de intervenção.</t>
  </si>
  <si>
    <t>Regras Gerais</t>
  </si>
  <si>
    <t>▪ Sempre utilizar os EPIs;</t>
  </si>
  <si>
    <t>▪ Seguir o planejamento;</t>
  </si>
  <si>
    <t>▪ Evitar contato ou aproximação com pontos energizados;</t>
  </si>
  <si>
    <t>▪ Utilizar apenas instrumentos e materiais adequados e compatíveis com a atividade.</t>
  </si>
  <si>
    <r>
      <t>⚠️</t>
    </r>
    <r>
      <rPr>
        <b/>
        <sz val="8"/>
        <color theme="1"/>
        <rFont val="Verdana"/>
        <family val="2"/>
      </rPr>
      <t>Regra Principal</t>
    </r>
  </si>
  <si>
    <r>
      <t xml:space="preserve">Na dúvida, </t>
    </r>
    <r>
      <rPr>
        <b/>
        <sz val="9"/>
        <color rgb="FFFF0000"/>
        <rFont val="Verdana"/>
        <family val="2"/>
      </rPr>
      <t>não execute</t>
    </r>
    <r>
      <rPr>
        <sz val="9"/>
        <color rgb="FFFF0000"/>
        <rFont val="Verdana"/>
        <family val="2"/>
      </rPr>
      <t>!</t>
    </r>
  </si>
  <si>
    <t>Nível de risco de acidente pessoal</t>
  </si>
  <si>
    <t>Moderado (Médio)</t>
  </si>
  <si>
    <t>3.</t>
  </si>
  <si>
    <t>RECURSOS / FERRAMENTAS / MATERIAIS</t>
  </si>
  <si>
    <t>Qtde</t>
  </si>
  <si>
    <t>Recurso</t>
  </si>
  <si>
    <t>EPI</t>
  </si>
  <si>
    <t>TRANSPORTE/MÁQUINAS</t>
  </si>
  <si>
    <t>BOTA DE SEGURANÇA (par) + CAPACETE SEG.</t>
  </si>
  <si>
    <t>VEÍCULO L200 P/ TRANSPORTE MATERIAL E EQUIPE</t>
  </si>
  <si>
    <t>VESTIMENTA ANTICHAMA + PAR DE ÓCULOS SEG.</t>
  </si>
  <si>
    <t>VEÍCULO DA SUBESTAÇÃO PARA APOIO</t>
  </si>
  <si>
    <t>PARES DE LUVAS DE SEGURANÇA</t>
  </si>
  <si>
    <t>PROTETOR AURICULAR</t>
  </si>
  <si>
    <t>CINTO TIPO PARAQUEDISTA P/ TRAB. ALTURA (KIT)</t>
  </si>
  <si>
    <t>PROTETOR SOLAR</t>
  </si>
  <si>
    <t>MATERIAL DE CONSUMO / SOBRESSALENTE</t>
  </si>
  <si>
    <t>PARES DE LUVAS NITRÍLICAS</t>
  </si>
  <si>
    <t>MALETA COM TINTA SPRAY E SILICONE</t>
  </si>
  <si>
    <t>MALETA COM WD40 E LIMPA CONTATO</t>
  </si>
  <si>
    <t>EPC</t>
  </si>
  <si>
    <t>CONJUNTO DE CONTATOS SOBRESSALENTES</t>
  </si>
  <si>
    <t>CONJ. BALIZAMENTO DISP. P/ OPERAÇÃO</t>
  </si>
  <si>
    <t>MATERIAL DE LIMPEZA</t>
  </si>
  <si>
    <t>DETETOR DE TENSÃO AFERIDO</t>
  </si>
  <si>
    <t>CONJUNTO DE LIXAS E ESPONJA SCOTCH BRITE</t>
  </si>
  <si>
    <t>BASTÃO ISOLANTE AFERIDO E LIMPO</t>
  </si>
  <si>
    <t>CONJUNTOS DE ATERRAMENTO (C/3 CABOS)</t>
  </si>
  <si>
    <t>COMUNICAÇÃO</t>
  </si>
  <si>
    <t>FERRAMENTAS E MATERIAL DE SUPORTE</t>
  </si>
  <si>
    <t>RÁDIOS COMUNICADORES</t>
  </si>
  <si>
    <t>MALA DE FERRAMENTAS</t>
  </si>
  <si>
    <t>TELEFONE MÓVEL DISPONIBILIZADO PELA OPERAÇÃO</t>
  </si>
  <si>
    <t>BOLSA/BALDE PARA IÇAR FERRAMENTAS</t>
  </si>
  <si>
    <t>CELULAR</t>
  </si>
  <si>
    <t>ESCADA DUPLA DE FIBRA</t>
  </si>
  <si>
    <t>CONJUNTO DE CORDAS</t>
  </si>
  <si>
    <t>DOCUMENTAÇÃO DE SUPORTE</t>
  </si>
  <si>
    <t>MANUAL DO FABRICANTE</t>
  </si>
  <si>
    <t>DESENHO TÉCNICO DO EQUIPAMENTO</t>
  </si>
  <si>
    <t>FICHA DE REGISTRO DE ENSAIO (FRE)</t>
  </si>
  <si>
    <t>ESQUEMA DE SERVIÇO PARA MANUTENÇÃO</t>
  </si>
  <si>
    <t>DIAGRAMA FUNCIONAL DO VÃO</t>
  </si>
  <si>
    <t>INSTRUMENTOS</t>
  </si>
  <si>
    <t>OUTRO (__________________________________)</t>
  </si>
  <si>
    <t>MEDIDOR DE BAIXA RESISTÊNCIA (LOW DUCTER)</t>
  </si>
  <si>
    <t>DOCUMENTAÇÃO ANEXADA AO PEX</t>
  </si>
  <si>
    <t>MULTÍMETRO</t>
  </si>
  <si>
    <t>CROQUI DE ATERRAMENTO</t>
  </si>
  <si>
    <t>ANÁLISE PRELIMINAR DE RISCO (APR)</t>
  </si>
  <si>
    <t>CHECKLIST DE PONTOS CRÍTICOS</t>
  </si>
  <si>
    <t>CROQUI DE CONFIGURAÇÃO</t>
  </si>
  <si>
    <t>PLANEJAMENTO GERAL (PGI)</t>
  </si>
  <si>
    <t>4.</t>
  </si>
  <si>
    <t>DETALHAMENTO DA INTERVENÇÃO</t>
  </si>
  <si>
    <t>1. </t>
  </si>
  <si>
    <t>DETALHAMENTO DA MANUTENÇÃO / ANÁLISE PRELIMINAR DE PERIGO</t>
  </si>
  <si>
    <t>Item</t>
  </si>
  <si>
    <t>Atividade</t>
  </si>
  <si>
    <t>Detalhamento</t>
  </si>
  <si>
    <t>VALIDAR PLANEJAMENTO PROPOSTO</t>
  </si>
  <si>
    <r>
      <rPr>
        <b/>
        <sz val="9"/>
        <color theme="1"/>
        <rFont val="Verdana"/>
        <family val="2"/>
      </rPr>
      <t>Realizar DDS – Diálogo Diário de Segurança.</t>
    </r>
    <r>
      <rPr>
        <sz val="9"/>
        <color theme="1"/>
        <rFont val="Verdana"/>
        <family val="2"/>
      </rPr>
      <t xml:space="preserve">
Nivelar atividade junto a equipe e dar ciência assinando o PEX e ações APP. Informar as tarefas e distribuir para a equipe executora conforme planejamento.</t>
    </r>
  </si>
  <si>
    <t>Douglas / Diego</t>
  </si>
  <si>
    <t>MOBILIZAR A EQUIPE</t>
  </si>
  <si>
    <t>Confirmar a existência de todos os recursos previstos no PEX. (RH, Ferramentas, instrumentos, EPI, EPC, materiais, transporte, documentação).</t>
  </si>
  <si>
    <t>APOIO PARA MANOBRAS DE SECCIONADORAS JUNTO À OPERAÇÃO LOCAL</t>
  </si>
  <si>
    <t>- Caso seja necessário auxiliar no fechamento ou abertura de seccionadoras, utilizar a técnica à distância com apoio do bastão isolante, pelo solo, ou com escalada pelos pórticos laterais da seccionadora, utilizando técnica de trabalho em altura.
 - Sempre atentar para a distância de segurança durante toda a atividade. 
 - Limitar os movimentos durante a execução de deslocamentos e manobras.
 - Aproximar ou tocar partes energizadas com ferramentas isolantes somente em condições atmosféricas adequadas, conforme Tabela 2 da NM-MN-LT.002.</t>
  </si>
  <si>
    <t>Equipe OOTFB.C, com apoio ELIMCO</t>
  </si>
  <si>
    <t>RECEBER A INTERVENÇÃO</t>
  </si>
  <si>
    <t>Só deverá ser solicitada a intervenção se não existirem condições impeditivas à realização dos trabalhos. Receber intervenção conforme a SI citada no cabeçalho desse PEX/APP.</t>
  </si>
  <si>
    <t>CONFIRMAR NÍVEL RISCO PROPOSTO</t>
  </si>
  <si>
    <t>Explicitar para toda a equipe a configuração recebida, indicando pontos energizados e desenergizados, de acordo com o PEX/SI nivelado anteriormente.</t>
  </si>
  <si>
    <t>Equipe OOTFB.C</t>
  </si>
  <si>
    <t>CONFIRMAR DIST.SEG. D1 E D2</t>
  </si>
  <si>
    <t>Obedecer a distância de segurança conforme classe de tensão por todos os envolvidos na atividade.</t>
  </si>
  <si>
    <t>INSTALAR SINALIZAÇÃO</t>
  </si>
  <si>
    <t>Balizar com cones e fitas de isolamento a área de trabalho delimitando o espaço das atividades garantindo o acesso e a distância de segurança permitida, conforme IN-OP.01.010.</t>
  </si>
  <si>
    <t>CONFIRMAR AUSÊNCIA DE TENSÃO</t>
  </si>
  <si>
    <t>Verificar funcionamento do detetor de tensão com teste real em circuito energizado (utilizando o bastão isolante):
 - Selecionar o nível de tensão adequado;
 - Realizar teste sonoro, usando botão específico do detetor;
 - Usando bastão isolante, aproximar detetor de ponto energizado, a fim de constatar o correto funcionamento do instrumento;
 - Aproximar o detetor a cada um dos condutores de todas as fases a serem aterradas.
 - Aproximar o detetor, novamente, a um ponto energizado, a fim de reconfirmar o correto funcionamento do instrumento.
 - Na indisponibilidade de executar o teste real em circuitos energizados, deve ser executado o “teste de ruído” (conforme IM-MN-LT-M.037).</t>
  </si>
  <si>
    <t>Natanael e Fabiano</t>
  </si>
  <si>
    <r>
      <t xml:space="preserve">INSTALAR ATERRAMENTO MÓVEL TEMPORÁRIO
</t>
    </r>
    <r>
      <rPr>
        <sz val="9"/>
        <color rgb="FFFF0000"/>
        <rFont val="Verdana"/>
        <family val="2"/>
      </rPr>
      <t xml:space="preserve">Essa atividade deve ser </t>
    </r>
    <r>
      <rPr>
        <b/>
        <sz val="9"/>
        <color rgb="FFFF0000"/>
        <rFont val="Verdana"/>
        <family val="2"/>
      </rPr>
      <t>acompanhada pela equipe de Operação Local</t>
    </r>
  </si>
  <si>
    <t xml:space="preserve"> - Limpar as superfícies de contato do grampo e do cabo de conexão à malha de terra.
 - Efetuar a conexão para todas as fases, garantindo um bom aperto.
 - Sempre que possível, conectar cada cabo de aterramento temporário a pontos distintos da malha de terra.
 - Confirmar que os bastões isolantes foram aprovados no teste de isolação (GO-MN-LT-M.026).
 - Instalar as bandeirolas de sinalização na extremidade superior dos cabos de aterramento.
 - Elevar o conjunto (cabo e conector de aterramento) com o bastão isolante, aproximando-o cuidadosamente até o ponto de conexão, evitando contato direto com o cabo.
 - Caso o uso da luva isolante com cobertura comprometa a ergonomia ou ofereça risco de escorregamento do bastão, poderá ser utilizada luva de algodão, desde que a ausência de tensão tenha sido previamente confirmada na etapa anterior.
 - Efetuar a conexão ao barramento/pulo/equipamento indicado na SI e representado no croqui de aterramento em anexo, garantindo um bom aperto.</t>
  </si>
  <si>
    <t>Natanael e Fabiano
(Supervisão Operação local)</t>
  </si>
  <si>
    <t>EXECUTAR OS TRABALHOS</t>
  </si>
  <si>
    <t>CORREÇAO DE NCT EM CONTATO DE CHAVE SECCIONADORA</t>
  </si>
  <si>
    <t>1) Análise preliminar</t>
  </si>
  <si>
    <t>▪ Verificar condição geral do contato com NCT (Fase A)</t>
  </si>
  <si>
    <t>▪ Identificar a área com aquecimento.</t>
  </si>
  <si>
    <t>▪ Verificar sinais de oxidação, folga ou desgaste.</t>
  </si>
  <si>
    <t>▪ Realizar registro fotográfico da condição inicial.</t>
  </si>
  <si>
    <t>2) Desmontagem e limpeza da conexão</t>
  </si>
  <si>
    <t>▪ Desmontar as conexões da Fase A.</t>
  </si>
  <si>
    <t>▪ Remover oxidação utilizando lixa ou escova de aço.</t>
  </si>
  <si>
    <t>▪ Limpar com pano seco e/ou álcool isopropílico.</t>
  </si>
  <si>
    <t>▪ Eliminar partículas e resíduos.</t>
  </si>
  <si>
    <t>3) Ajuste mecânico</t>
  </si>
  <si>
    <t>▪ Verificar alinhamento dos contatos.</t>
  </si>
  <si>
    <t>▪ Ajustar pressão de contato conforme especificação do fabricante.</t>
  </si>
  <si>
    <t>▪ Reapertar parafusos com torque correto.</t>
  </si>
  <si>
    <t>▪ Testar movimento mecânico da chave.</t>
  </si>
  <si>
    <t>4) Substituição dos contato/dedos (se necessário)</t>
  </si>
  <si>
    <t>▪ Substituir contatos danificados.</t>
  </si>
  <si>
    <t>▪ Substituir pinos, garfos ou componentes comprometidos.</t>
  </si>
  <si>
    <t>5) Ensaio de resitência de contato</t>
  </si>
  <si>
    <t>▪ Configurar micro-ohmímetro (≥ 50 A / método 4 fios).</t>
  </si>
  <si>
    <t>▪ Conectar nos terminais da Fase A.</t>
  </si>
  <si>
    <t>▪ Garantir chave em posição fechada e travada.</t>
  </si>
  <si>
    <t>6) Registro dos ensaios de resitência de contato</t>
  </si>
  <si>
    <t>▪ Medição 1 realizada:  ____</t>
  </si>
  <si>
    <t>▪ Medição 2 realizada:  ____</t>
  </si>
  <si>
    <t>▪ Medição 3 realizada:  ____</t>
  </si>
  <si>
    <t>7) Comparação com critério de aceitação</t>
  </si>
  <si>
    <t>▪ Confirmar se todos os valores ≤ 50 µΩ</t>
  </si>
  <si>
    <t>▪ Caso contrário, retornar ao item de correção</t>
  </si>
  <si>
    <t>8) Inspeção final</t>
  </si>
  <si>
    <t>▪ Realizar manobra final (abrir/fechar).</t>
  </si>
  <si>
    <t>▪ Conferir travamentos mecânicos.</t>
  </si>
  <si>
    <t>▪ Verificar visualmente os contatos.</t>
  </si>
  <si>
    <t>▪ Liberar área e recolher ferramentas.</t>
  </si>
  <si>
    <t>9) Energização e Monitoramento</t>
  </si>
  <si>
    <t>▪ Após energização, monitorar ruídos, corrente de operação e temperatura (termovisão recomendada).</t>
  </si>
  <si>
    <t>▪ Monitorar e registrar comportamento térmico e visual nas primeiras horas.</t>
  </si>
  <si>
    <r>
      <t xml:space="preserve">REMOVER ATERRAMENTO MÓVEL TEMPORÁRIO
</t>
    </r>
    <r>
      <rPr>
        <sz val="9"/>
        <color rgb="FFFF0000"/>
        <rFont val="Verdana"/>
        <family val="2"/>
      </rPr>
      <t xml:space="preserve">Essa atividade deve ser </t>
    </r>
    <r>
      <rPr>
        <b/>
        <sz val="9"/>
        <color rgb="FFFF0000"/>
        <rFont val="Verdana"/>
        <family val="2"/>
      </rPr>
      <t>acompanhada pela equipe de Operação Local</t>
    </r>
    <r>
      <rPr>
        <sz val="9"/>
        <color rgb="FFFF0000"/>
        <rFont val="Verdana"/>
        <family val="2"/>
      </rPr>
      <t xml:space="preserve"> e deve ser realizada pela </t>
    </r>
    <r>
      <rPr>
        <b/>
        <sz val="9"/>
        <color rgb="FFFF0000"/>
        <rFont val="Verdana"/>
        <family val="2"/>
      </rPr>
      <t>mesma pessoa delegada para instalação.</t>
    </r>
  </si>
  <si>
    <r>
      <t xml:space="preserve"> - Avisar a todos os membros da equipe que será iniciada a etapa de retirada do conjunto de aterramento temporário.
 - Utilizando o bastão isolante, aproximar-se do conector ligado ao pulo/barramento/equipamento e efetuar a desconexão.
 - Caso o uso da luva isolante com cobertura comprometa a ergonomia ou ofereça risco de escorregamento do bastão, poderá ser utilizada luva de algodão, considerando que a ausência de tensão já foi confirmada (está aterrado).
 - Cuidadosamente, levar a extremidade desconectada do cabo de aterramento até o nível do solo – evitar contato com o cabo de aterramento e sua aproximação de pontos energizados durante esse procedimento.
 - Efetuar a desconexão do grampo de terra </t>
    </r>
    <r>
      <rPr>
        <u/>
        <sz val="9"/>
        <color theme="1"/>
        <rFont val="Verdana"/>
        <family val="2"/>
      </rPr>
      <t>somente após TODOS os cabos terem sido desconectados da parte superior</t>
    </r>
    <r>
      <rPr>
        <sz val="9"/>
        <color theme="1"/>
        <rFont val="Verdana"/>
        <family val="2"/>
      </rPr>
      <t>;
 - Acondicionar adequadamente o conjunto de aterramento em local abrigado.
 - O responsável pela intervenção deve proceder uma inspeção visual na área de segurança prevista no PEX e verificar se todos os cabos de aterramento foram retirados;
 - Contar o número de aterramentos temporários removidos e confrontar com os utilizados.</t>
    </r>
  </si>
  <si>
    <t>Natanael e Fabiano (mesma dupla delegada para instalação)
(Supervisão Operação local)</t>
  </si>
  <si>
    <t>RETIRAR SINALIZAÇÃO E LIMPAR ÁREA DE TRABALHO</t>
  </si>
  <si>
    <t>Realizar limpeza da área e remover todo material, veículos e maquinários utilizados na atividade.</t>
  </si>
  <si>
    <t>DEVOLVER INTERVENÇÃO</t>
  </si>
  <si>
    <t>Devolver a intervenção à operação, acompanhar manobras de Normalização, caso necessário.
A equipe deverá ausentar-se da instalação somente após normalização do equipamento.</t>
  </si>
  <si>
    <t xml:space="preserve"> - Caso seja necessário auxiliar no fechamento ou abertura de seccionadoras, utilizar a técnica à distância com apoio do bastão isolante, pelo solo, ou com escalada pelos pórticos laterais da seccionadora, utilizando técnica de trabalho em altura.
 - Sempre atentar para a distância de segurança durante toda a atividade. 
 - Limitar os movimentos durante a execução de deslocamentos e manobras.
 - Aproximar ou tocar partes energizadas com ferramentas isolantes somente em condições atmosféricas adequadas, conforme Tabela 2 da NM-MN-LT.002.</t>
  </si>
  <si>
    <t>5.</t>
  </si>
  <si>
    <t>RECURSOS HUMANOS E CIÊNCIA DOS RISCOS</t>
  </si>
  <si>
    <t>Nome</t>
  </si>
  <si>
    <t>Empresa/Equipe</t>
  </si>
  <si>
    <t>Documento / Matrícula</t>
  </si>
  <si>
    <t>Estado Físico/Emocional</t>
  </si>
  <si>
    <t>Ciência das Atividades e Riscos</t>
  </si>
  <si>
    <t>Assinalar se bom</t>
  </si>
  <si>
    <t>ANTONIO EURIDAN FREIRES DA SILVA</t>
  </si>
  <si>
    <t>FABIANO PEREIRA DA SILVA</t>
  </si>
  <si>
    <t>FRANCISCO NATANAEL PEREIRA SOUZA</t>
  </si>
  <si>
    <t>JOSE REGINALDO MAGALHAES</t>
  </si>
  <si>
    <t>ÂNGELO ROBSON MELO CABRAL</t>
  </si>
  <si>
    <t>ANTHONY PHILLIPE DE SOUZA TRINDADE</t>
  </si>
  <si>
    <r>
      <rPr>
        <b/>
        <sz val="1"/>
        <color theme="1"/>
        <rFont val="Verdana"/>
        <family val="2"/>
      </rPr>
      <t xml:space="preserve">
</t>
    </r>
    <r>
      <rPr>
        <b/>
        <sz val="8"/>
        <color theme="1"/>
        <rFont val="Verdana"/>
        <family val="2"/>
      </rPr>
      <t>Obs.:</t>
    </r>
  </si>
  <si>
    <t>(1) Cabe ao Responsável nivelar atividades e riscos com a equipe antes do início dos trabalhos.</t>
  </si>
  <si>
    <t>(2) O APR da SI indicada é parte integrante (anexo) e obrigatório deste PEX, devendo ser lido pela equipe antes da execução.</t>
  </si>
  <si>
    <t>(3) A ciência dos riscos será registrada exclusivamente neste PEX, mediante assinaturas no campo acima.</t>
  </si>
  <si>
    <t>APR</t>
  </si>
  <si>
    <t>Análise Preliminar de Riscos</t>
  </si>
  <si>
    <t>Rev. APR</t>
  </si>
  <si>
    <t xml:space="preserve">  Este APR é anexo obrigatório ao Planejamento Executivo (PEX) da SI com numeração indicada acima. A ciência dos riscos identificados neste documento deve ser registrada na seção específica do PEX, mediante assinatura dos integrantes da equipe antes do início da atividade.</t>
  </si>
  <si>
    <t>IDENTIFICAÇÃO</t>
  </si>
  <si>
    <t>AVALIAÇÃO DE ACORDO COM A MATRIZ 5X5</t>
  </si>
  <si>
    <t>HIERARQUIZAÇÃO DAS MEDIDAS DE CONTROLE</t>
  </si>
  <si>
    <t>STATUS APÓS AÇÕES E MEDIDAS</t>
  </si>
  <si>
    <t>ÁREA</t>
  </si>
  <si>
    <t>ATIVIDADE</t>
  </si>
  <si>
    <t>PERIGO</t>
  </si>
  <si>
    <t>DANOS / IMPACTO</t>
  </si>
  <si>
    <t>RISCO</t>
  </si>
  <si>
    <t>SEVERI-DADE</t>
  </si>
  <si>
    <t>PROBA-BILIDA-DE</t>
  </si>
  <si>
    <t>GRAU DE SIGNIFICÂNCIA (Risco)</t>
  </si>
  <si>
    <t>ELIMINAÇÃO</t>
  </si>
  <si>
    <t>SUBSTITUIÇÃO</t>
  </si>
  <si>
    <t>CONTROLES DE ENGENHARIA</t>
  </si>
  <si>
    <t>SINALIZAÇÃO/ ALERTAS E/OU CONTROLE ADM</t>
  </si>
  <si>
    <t xml:space="preserve">SEVERI-DADE </t>
  </si>
  <si>
    <t xml:space="preserve">PROBA-BILIDA-DE </t>
  </si>
  <si>
    <r>
      <t xml:space="preserve">GRAU DE SIGNIFICÂNCIA  (Risco)
</t>
    </r>
    <r>
      <rPr>
        <sz val="7"/>
        <color rgb="FFFF0000"/>
        <rFont val="Verdana"/>
        <family val="2"/>
      </rPr>
      <t>Após ações e medidas de controle</t>
    </r>
  </si>
  <si>
    <t>CONTROLES ESPECÍFICOS</t>
  </si>
  <si>
    <t>Pátio 230kV</t>
  </si>
  <si>
    <t>Instalação de aterramento temporário</t>
  </si>
  <si>
    <t>Escalada no equipamento</t>
  </si>
  <si>
    <t>Confirmação da ausência de tensão</t>
  </si>
  <si>
    <t>Área externa</t>
  </si>
  <si>
    <t>Deslocamento de carro (colisão)</t>
  </si>
  <si>
    <t>Deslocamento a pé (piso irregular)</t>
  </si>
  <si>
    <t>CROQUI</t>
  </si>
  <si>
    <t>Croqui de Aterramento Temporário</t>
  </si>
  <si>
    <t>Data</t>
  </si>
  <si>
    <r>
      <rPr>
        <b/>
        <sz val="9"/>
        <color theme="1"/>
        <rFont val="Verdana"/>
        <family val="2"/>
      </rPr>
      <t>Observação</t>
    </r>
    <r>
      <rPr>
        <sz val="9"/>
        <color theme="1"/>
        <rFont val="Verdana"/>
        <family val="2"/>
      </rPr>
      <t>: Os aterramentos serão instalados/retirados no decorrer da intervenção.</t>
    </r>
  </si>
  <si>
    <t>Quantidade Total de Aterramentos</t>
  </si>
  <si>
    <t>Legenda:</t>
  </si>
  <si>
    <t>unidades</t>
  </si>
  <si>
    <t>Responsável pela Intervenção:</t>
  </si>
  <si>
    <t>Matrícula:</t>
  </si>
  <si>
    <t>Assinatura:</t>
  </si>
  <si>
    <t>VERIFICAÇÃO</t>
  </si>
  <si>
    <t>Controle de Pontos Críticos da Intervenção</t>
  </si>
  <si>
    <t>DATA</t>
  </si>
  <si>
    <t>Tipo do Ponto Crítico</t>
  </si>
  <si>
    <t>Ponto Crítico</t>
  </si>
  <si>
    <t>Verificador</t>
  </si>
  <si>
    <t>Controlar p/ fase?</t>
  </si>
  <si>
    <t>#</t>
  </si>
  <si>
    <t>Horário</t>
  </si>
  <si>
    <t>Horário fase A</t>
  </si>
  <si>
    <t>Horário fase B</t>
  </si>
  <si>
    <t>Horário fase C</t>
  </si>
  <si>
    <t>Segurança de Pessoas</t>
  </si>
  <si>
    <t>Usar bastão isolante para aproximar detector a ponto energizado e testar funcionamento</t>
  </si>
  <si>
    <t>Aproximar detector a cada condutor das fases a serem aterradas</t>
  </si>
  <si>
    <t>Reaproximar detector a ponto energizado para reconfirmar funcionamento</t>
  </si>
  <si>
    <t>Segurança de Pessoas / Sistema</t>
  </si>
  <si>
    <t>INSTALAÇÃO DO ATERRAMENTO MÓVEL TEMPORÁRIO</t>
  </si>
  <si>
    <t>Limpar contatos e conectar grampos e todos os cabos à malha de terra garantindo bom aperto</t>
  </si>
  <si>
    <t>Confirmar bastões isolantes aprovados no teste de isolação GO-MN-LT-M.026</t>
  </si>
  <si>
    <r>
      <rPr>
        <u/>
        <sz val="9"/>
        <color theme="1"/>
        <rFont val="Verdana"/>
        <family val="2"/>
      </rPr>
      <t>Primeiro aterramento</t>
    </r>
    <r>
      <rPr>
        <sz val="9"/>
        <color theme="1"/>
        <rFont val="Verdana"/>
        <family val="2"/>
      </rPr>
      <t>: Levar conjunto com bastão e aproximar ao ponto sem contato direto</t>
    </r>
  </si>
  <si>
    <r>
      <rPr>
        <u/>
        <sz val="9"/>
        <color theme="1"/>
        <rFont val="Verdana"/>
        <family val="2"/>
      </rPr>
      <t>Primeiro aterramento</t>
    </r>
    <r>
      <rPr>
        <sz val="9"/>
        <color theme="1"/>
        <rFont val="Verdana"/>
        <family val="2"/>
      </rPr>
      <t>: Conectar ao barramento pulo ou equipamento conforme SI e croqui</t>
    </r>
  </si>
  <si>
    <r>
      <rPr>
        <u/>
        <sz val="9"/>
        <color theme="1"/>
        <rFont val="Verdana"/>
        <family val="2"/>
      </rPr>
      <t>Segundo aterramento</t>
    </r>
    <r>
      <rPr>
        <sz val="9"/>
        <color theme="1"/>
        <rFont val="Verdana"/>
        <family val="2"/>
      </rPr>
      <t>: Levar conjunto com bastão e aproximar ao ponto sem contato direto</t>
    </r>
  </si>
  <si>
    <r>
      <rPr>
        <u/>
        <sz val="9"/>
        <color theme="1"/>
        <rFont val="Verdana"/>
        <family val="2"/>
      </rPr>
      <t>Segundo aterramento</t>
    </r>
    <r>
      <rPr>
        <sz val="9"/>
        <color theme="1"/>
        <rFont val="Verdana"/>
        <family val="2"/>
      </rPr>
      <t>: Conectar ao barramento pulo ou equipamento conforme SI e croqui</t>
    </r>
  </si>
  <si>
    <r>
      <rPr>
        <u/>
        <sz val="9"/>
        <color theme="1"/>
        <rFont val="Verdana"/>
        <family val="2"/>
      </rPr>
      <t>Terceiro aterramento</t>
    </r>
    <r>
      <rPr>
        <sz val="9"/>
        <color theme="1"/>
        <rFont val="Verdana"/>
        <family val="2"/>
      </rPr>
      <t>: Levar conjunto com bastão e aproximar ao ponto sem contato direto</t>
    </r>
  </si>
  <si>
    <r>
      <rPr>
        <u/>
        <sz val="9"/>
        <color theme="1"/>
        <rFont val="Verdana"/>
        <family val="2"/>
      </rPr>
      <t>Terceiro aterramento</t>
    </r>
    <r>
      <rPr>
        <sz val="9"/>
        <color theme="1"/>
        <rFont val="Verdana"/>
        <family val="2"/>
      </rPr>
      <t>: Conectar ao barramento pulo ou equipamento conforme SI e croqui</t>
    </r>
  </si>
  <si>
    <t>FIXAÇÃO DA ESCADA E ESCALADA</t>
  </si>
  <si>
    <t>Posicionar escada em superfície firme e nivelada garantindo ângulo adequado de aproximadamente 75°</t>
  </si>
  <si>
    <t>Fixar escada com cordas ou dispositivos de ancoragem para evitar deslocamento durante a subida</t>
  </si>
  <si>
    <t>Utilizar cinto de segurança e talabarte para proteção contra queda durante a escalada</t>
  </si>
  <si>
    <t>REMOVER ATERRAMENTO MÓVEL TEMPORÁRIO</t>
  </si>
  <si>
    <t>Avisar equipe antes de iniciar retirada do aterramento temporário</t>
  </si>
  <si>
    <r>
      <rPr>
        <u/>
        <sz val="9"/>
        <color theme="1"/>
        <rFont val="Verdana"/>
        <family val="2"/>
      </rPr>
      <t>Primeiro aterramento</t>
    </r>
    <r>
      <rPr>
        <sz val="9"/>
        <color theme="1"/>
        <rFont val="Verdana"/>
        <family val="2"/>
      </rPr>
      <t>: Usar bastão para desconectar do barramento/pulo/equipamento</t>
    </r>
  </si>
  <si>
    <r>
      <rPr>
        <u/>
        <sz val="9"/>
        <color theme="1"/>
        <rFont val="Verdana"/>
        <family val="2"/>
      </rPr>
      <t>Primeiro aterramento</t>
    </r>
    <r>
      <rPr>
        <sz val="9"/>
        <color theme="1"/>
        <rFont val="Verdana"/>
        <family val="2"/>
      </rPr>
      <t>: Baixar cabo ao solo sem contato e longe de pontos energizados</t>
    </r>
  </si>
  <si>
    <r>
      <rPr>
        <u/>
        <sz val="9"/>
        <color theme="1"/>
        <rFont val="Verdana"/>
        <family val="2"/>
      </rPr>
      <t>Segundo aterramento</t>
    </r>
    <r>
      <rPr>
        <sz val="9"/>
        <color theme="1"/>
        <rFont val="Verdana"/>
        <family val="2"/>
      </rPr>
      <t>: Usar bastão para desconectar do barramento/pulo/equipamento</t>
    </r>
  </si>
  <si>
    <r>
      <rPr>
        <u/>
        <sz val="9"/>
        <color theme="1"/>
        <rFont val="Verdana"/>
        <family val="2"/>
      </rPr>
      <t>Segundo aterramento</t>
    </r>
    <r>
      <rPr>
        <sz val="9"/>
        <color theme="1"/>
        <rFont val="Verdana"/>
        <family val="2"/>
      </rPr>
      <t>: Baixar cabo ao solo sem contato e longe de pontos energizados</t>
    </r>
  </si>
  <si>
    <r>
      <rPr>
        <u/>
        <sz val="9"/>
        <color theme="1"/>
        <rFont val="Verdana"/>
        <family val="2"/>
      </rPr>
      <t>Terceiro aterramento</t>
    </r>
    <r>
      <rPr>
        <sz val="9"/>
        <color theme="1"/>
        <rFont val="Verdana"/>
        <family val="2"/>
      </rPr>
      <t>: Usar bastão para desconectar do barramento/pulo/equipamento</t>
    </r>
  </si>
  <si>
    <r>
      <rPr>
        <u/>
        <sz val="9"/>
        <color theme="1"/>
        <rFont val="Verdana"/>
        <family val="2"/>
      </rPr>
      <t>Terceiro aterramento</t>
    </r>
    <r>
      <rPr>
        <sz val="9"/>
        <color theme="1"/>
        <rFont val="Verdana"/>
        <family val="2"/>
      </rPr>
      <t>: Baixar cabo ao solo sem contato e longe de pontos energizados</t>
    </r>
  </si>
  <si>
    <t>Retirar grampo de terra somente após todos os cabos desconectados da parte superior</t>
  </si>
  <si>
    <t>Proceder inspeção visual e confirmar retirada de todos os cabos da área de segurança</t>
  </si>
  <si>
    <t>Responsável da Intervenção</t>
  </si>
  <si>
    <t>Verificador(es)</t>
  </si>
  <si>
    <t>Nome Completo</t>
  </si>
  <si>
    <t>Matrícula SAP/ Documento</t>
  </si>
  <si>
    <t>Telefone</t>
  </si>
  <si>
    <t>LINCOLN DA SILVA BARBOSA</t>
  </si>
  <si>
    <t>AXIA/OOTFB</t>
  </si>
  <si>
    <t>(86) 9.8832-8080</t>
  </si>
  <si>
    <t>ROBERTO RIVELINO DE ALMEIDA CAVALCANTE</t>
  </si>
  <si>
    <t>AXIA/OOTFB-O&amp;M</t>
  </si>
  <si>
    <t>(85) 9.9667-9391</t>
  </si>
  <si>
    <t>CARLOS DELANO DA SILVA LIRA</t>
  </si>
  <si>
    <t>(85) 9.9935-0435</t>
  </si>
  <si>
    <t>MARCOS PESSOA PIRES SOUTO</t>
  </si>
  <si>
    <t>(85) 9.9848-9680</t>
  </si>
  <si>
    <t>LEANDRO NEVES ARAUJO</t>
  </si>
  <si>
    <t>(88) 9.9729-4177</t>
  </si>
  <si>
    <t>PEDRO HENRIQUE RICARTE DE SOUSA</t>
  </si>
  <si>
    <t>AXIA/O&amp;M MSD</t>
  </si>
  <si>
    <t>(84) 9.9666-7630</t>
  </si>
  <si>
    <t>EWERTON MARINHO ALVES DE LIMA</t>
  </si>
  <si>
    <t>(84) 9.8839-6650</t>
  </si>
  <si>
    <t>JOCIVAN FERREIRA DE ARAÚJO</t>
  </si>
  <si>
    <t>ELIMCO/O&amp;M AQD</t>
  </si>
  <si>
    <t>(85) 9.9753-5485</t>
  </si>
  <si>
    <t>SEBASTIÃO MARTINS DE CASTRO</t>
  </si>
  <si>
    <t>(85) 9.8762-7520</t>
  </si>
  <si>
    <t>RONEY HUDSON DA SILVA</t>
  </si>
  <si>
    <t>(85) 9.8759-8908</t>
  </si>
  <si>
    <t>FRANCISCO EDSON CANDIDO DE SOUZA JUNIOR</t>
  </si>
  <si>
    <t>ELIMCO/O&amp;M AUD</t>
  </si>
  <si>
    <t>(88) 9.9609-7105</t>
  </si>
  <si>
    <t>JOSE VALTER DA SILVA ARAUJO</t>
  </si>
  <si>
    <t>(88) 9.8154-8815</t>
  </si>
  <si>
    <t>ANTONIO MARCOS DA SILVA</t>
  </si>
  <si>
    <t>(88) 9.9922-2625</t>
  </si>
  <si>
    <t>ELIMCO/O&amp;M BNB</t>
  </si>
  <si>
    <t>(85) 9.8907-2573</t>
  </si>
  <si>
    <t>(88) 9.9449-3202</t>
  </si>
  <si>
    <t>(88) 9.9798-2570</t>
  </si>
  <si>
    <t>FRANCISCO GEBSON QUEIROZ COSTA</t>
  </si>
  <si>
    <t>ELIMCO/O&amp;M QXA</t>
  </si>
  <si>
    <t>(88) 9.9988-7990</t>
  </si>
  <si>
    <t>RETYCLINCE FERNANDES CHAVES</t>
  </si>
  <si>
    <t>(88) 9.9860-0670</t>
  </si>
  <si>
    <t>ROBERIO MARQUES DE SOUSA</t>
  </si>
  <si>
    <t>ELIMCO/O&amp;M RSD</t>
  </si>
  <si>
    <t>(88) 9.8177-2072</t>
  </si>
  <si>
    <t>FRANCISCO DEUZIVAN FERREIRA DE ARAUJO</t>
  </si>
  <si>
    <t>(88) 9.9935-9922</t>
  </si>
  <si>
    <t>CICERO RINALDO DOS SANTOS</t>
  </si>
  <si>
    <t>(88) 9.9421-4110</t>
  </si>
  <si>
    <t>JOSE EDSON NUNES AZEVEDO</t>
  </si>
  <si>
    <t>(88) 9.9998-1024</t>
  </si>
  <si>
    <t>ARNALDO GONCALVES PINHEIRO</t>
  </si>
  <si>
    <t>AXIA/OOTFB-SE</t>
  </si>
  <si>
    <t>(85) 9.8846-7159</t>
  </si>
  <si>
    <t>EMMANUEL RAMON MARQUES DANTAS</t>
  </si>
  <si>
    <t>(84) 9.9909-6885</t>
  </si>
  <si>
    <t>LUIS ANTONIO CARVALHO COSTA</t>
  </si>
  <si>
    <t>(85) 9.9761-7334</t>
  </si>
  <si>
    <t>JOSE DOMES OLIVEIRA PONTES</t>
  </si>
  <si>
    <t>(85) 9.8811-3765</t>
  </si>
  <si>
    <t>ABRAAO DAS CHAGAS LIMA</t>
  </si>
  <si>
    <t>(85) 9.9951-8551</t>
  </si>
  <si>
    <t>ANDERSON MONTEIRO DA COSTA</t>
  </si>
  <si>
    <t>(85) 9.9155-7796</t>
  </si>
  <si>
    <t>(85) 9.8109-8447</t>
  </si>
  <si>
    <t>(85) 9.9644-4314</t>
  </si>
  <si>
    <t>(85) 9.9759-7680</t>
  </si>
  <si>
    <t>(85) 9.8704-2018</t>
  </si>
  <si>
    <t>(85) 9.8850-8880</t>
  </si>
  <si>
    <t>ANDERSON PEREIRA ROCHA</t>
  </si>
  <si>
    <t>(85) 9.9992-5646</t>
  </si>
  <si>
    <t>FRANCISCO LOPES JUNIOR</t>
  </si>
  <si>
    <t>(85) 9.9985-8529</t>
  </si>
  <si>
    <t>MARCOS EUGENIO RODRIGUES DA SILVA</t>
  </si>
  <si>
    <t>(85) 9.8853-0380</t>
  </si>
  <si>
    <t>WELLINGTON CARLOS DE ABREU</t>
  </si>
  <si>
    <t>(85) 9.9649-8465</t>
  </si>
  <si>
    <t>CLAUDIO DE SOUSA LIMA</t>
  </si>
  <si>
    <t>(85) 9.8662-7624</t>
  </si>
  <si>
    <t>CLAUDIO BARBOSA LIMA</t>
  </si>
  <si>
    <t>(85) 9.8874-3821</t>
  </si>
  <si>
    <t>JOSÉ ALMIR COSTA FERNANDES</t>
  </si>
  <si>
    <t>MS/OOTFB-SE</t>
  </si>
  <si>
    <t>229.378.383-91</t>
  </si>
  <si>
    <t>(85) 9.9174-5419</t>
  </si>
  <si>
    <t>RONALDO MARCELINO DOS SANTOS XAVIER</t>
  </si>
  <si>
    <t>615.878.003-06</t>
  </si>
  <si>
    <t>(85) 9.8653-9000</t>
  </si>
  <si>
    <t>JOSÉ IVANILDO DE LIMA PEREIRA</t>
  </si>
  <si>
    <t>029.412.613-97</t>
  </si>
  <si>
    <t>(85) 9.8820-2734</t>
  </si>
  <si>
    <t xml:space="preserve">JORGE RODRIGO DA SILVA RODRIGUES </t>
  </si>
  <si>
    <t>066.256.443-07</t>
  </si>
  <si>
    <t>(85) 9.8643-0290</t>
  </si>
  <si>
    <t>FRANCISCO VICTOR GOMES MONTEIRO</t>
  </si>
  <si>
    <t>076.521.013-44</t>
  </si>
  <si>
    <t>(85) 9.9645-4765</t>
  </si>
  <si>
    <t>MAGNO PINHEIRO DA SILVA</t>
  </si>
  <si>
    <t>016.907.093-08</t>
  </si>
  <si>
    <t>(85) 9.9403-6578</t>
  </si>
  <si>
    <t>ANDERSON ROCHA SILVA SANTOS</t>
  </si>
  <si>
    <t>AXIA/OOTFB-LT</t>
  </si>
  <si>
    <t>(85) 9.9900-6877</t>
  </si>
  <si>
    <t>CAIO MARCIO RODRIGUES SILVA</t>
  </si>
  <si>
    <t>(85) 9.9687-2239</t>
  </si>
  <si>
    <t>ERIC LEANDRO MARQUES DOS REIS</t>
  </si>
  <si>
    <t xml:space="preserve">(85) 9.9670-5221       </t>
  </si>
  <si>
    <t>ERMILTON ALVES DE LIMA</t>
  </si>
  <si>
    <t>(85) 9.8746-6239</t>
  </si>
  <si>
    <t>EVANDRO VASCONCELOS SEVERIANO JUNIOR</t>
  </si>
  <si>
    <t>(88) 9.9473-9273</t>
  </si>
  <si>
    <t>FRANCISCO MILTON PARENTE DE ALBUQUERQUE</t>
  </si>
  <si>
    <t>(85) 9.9982-9862</t>
  </si>
  <si>
    <t>GLAUBER FERNANDO MARTINS DE SOUSA</t>
  </si>
  <si>
    <t>(85) 9.8202-7070</t>
  </si>
  <si>
    <t>IRAMILTON DE SOUZA LEITE</t>
  </si>
  <si>
    <t>(85) 9.8805-3800</t>
  </si>
  <si>
    <t>JAILTO DOS SANTOS LEITAO</t>
  </si>
  <si>
    <t>(85) 9.9113-3142</t>
  </si>
  <si>
    <t>JOAO PAULO DA SILVA RIBEIRO</t>
  </si>
  <si>
    <t>(85) 9.9627-8159</t>
  </si>
  <si>
    <t>JOSE DIOZELIO DA SILVA BATISTA</t>
  </si>
  <si>
    <t>(88) 9.9452-1704</t>
  </si>
  <si>
    <t>MARCELO CAETANO DA SILVA</t>
  </si>
  <si>
    <t>(85) 9.9787-6602</t>
  </si>
  <si>
    <t>MARIO YOICHI MINAMI</t>
  </si>
  <si>
    <t>(85) 9.9865-3428</t>
  </si>
  <si>
    <t>PEDRO VITOR DA SILVA DE SOUZA</t>
  </si>
  <si>
    <t>(85) 9.8543-9543</t>
  </si>
  <si>
    <t>SAULO SANTIAGO CABRAL</t>
  </si>
  <si>
    <t>(85) 9.9786-4062</t>
  </si>
  <si>
    <t xml:space="preserve">FÁBIO BEZERRA DA SILVA </t>
  </si>
  <si>
    <t>CYMI/OOTFB-LT</t>
  </si>
  <si>
    <t>057.939.234-11</t>
  </si>
  <si>
    <t>(81) 98288-3571</t>
  </si>
  <si>
    <t>LUCAS DE OLIVEIRA MACEDO</t>
  </si>
  <si>
    <t>030.028.213-30</t>
  </si>
  <si>
    <t>(86) 98100-9099</t>
  </si>
  <si>
    <t xml:space="preserve">YGOR RIBEIRO BARBOSA </t>
  </si>
  <si>
    <t>055.459.443-97</t>
  </si>
  <si>
    <t>(88) 99375-4944</t>
  </si>
  <si>
    <t xml:space="preserve">GILVAN RIBEIRO DA SILVA </t>
  </si>
  <si>
    <t>040.336.843-01</t>
  </si>
  <si>
    <t>(85) 98667-8397</t>
  </si>
  <si>
    <t>ROBENILSON MACIEL BELIZÁRIO</t>
  </si>
  <si>
    <t>079.549.223-59</t>
  </si>
  <si>
    <t>(88) 99929-9192</t>
  </si>
  <si>
    <t>JAREDE DE PAIVA DAMASCENO</t>
  </si>
  <si>
    <t>041.189.053-02</t>
  </si>
  <si>
    <t>(88) 98224-8163</t>
  </si>
  <si>
    <t xml:space="preserve">MARDEENS NEY LEITE DUARTE </t>
  </si>
  <si>
    <t>026.354.273-48</t>
  </si>
  <si>
    <t>(85) 98626-2570</t>
  </si>
  <si>
    <t>Banco de Dados</t>
  </si>
  <si>
    <r>
      <t xml:space="preserve">Atualize e revise esse Banco de Dados </t>
    </r>
    <r>
      <rPr>
        <b/>
        <sz val="10"/>
        <rFont val="Verdana"/>
        <family val="2"/>
      </rPr>
      <t>semanalmente</t>
    </r>
    <r>
      <rPr>
        <sz val="10"/>
        <rFont val="Verdana"/>
        <family val="2"/>
      </rPr>
      <t xml:space="preserve"> (ou sempre que julgar necessário). Para preenchimento da APR, acesse a aba</t>
    </r>
    <r>
      <rPr>
        <i/>
        <sz val="10"/>
        <rFont val="Verdana"/>
        <family val="2"/>
      </rPr>
      <t xml:space="preserve"> [APR]</t>
    </r>
    <r>
      <rPr>
        <sz val="10"/>
        <rFont val="Verdana"/>
        <family val="2"/>
      </rPr>
      <t xml:space="preserve"> e selecione as respectivas "</t>
    </r>
    <r>
      <rPr>
        <i/>
        <sz val="10"/>
        <rFont val="Verdana"/>
        <family val="2"/>
      </rPr>
      <t>Atividades</t>
    </r>
    <r>
      <rPr>
        <sz val="10"/>
        <rFont val="Verdana"/>
        <family val="2"/>
      </rPr>
      <t>" para garantir o complemento automático das demais informações.</t>
    </r>
  </si>
  <si>
    <t>Pátio 69kV</t>
  </si>
  <si>
    <t>Eletricidade</t>
  </si>
  <si>
    <t>Queimaduras, lesões graves ou fatais</t>
  </si>
  <si>
    <t>Choque elétrico</t>
  </si>
  <si>
    <t>Desenergizar; teste de ausência de tensão</t>
  </si>
  <si>
    <t>Sistemas automáticos de aterramento</t>
  </si>
  <si>
    <t>Dispositivo certificado; equipamento de teste</t>
  </si>
  <si>
    <t>Procedimento NR10; reciclagem periódica</t>
  </si>
  <si>
    <t>Vestimenta anti-chama; capacete com viseira; luvas isolantes + sobreluvas mecânicas; bota isolante</t>
  </si>
  <si>
    <t>Testador de ausência de tensão</t>
  </si>
  <si>
    <t>Trabalho em altura</t>
  </si>
  <si>
    <t>Fraturas, traumatismos, lesões graves ou fatais</t>
  </si>
  <si>
    <t>Queda de altura</t>
  </si>
  <si>
    <t>Executar em solo quando possível (ferramentas longas, drones)</t>
  </si>
  <si>
    <t>Plataformas elevatórias</t>
  </si>
  <si>
    <t>Linha de vida, pontos de ancoragem, guarda-corpos</t>
  </si>
  <si>
    <t>Procedimento NR35, checklist, controle de acesso</t>
  </si>
  <si>
    <t>Cinturão paraquedista; trava-quedas retrátil; capacete com jugular; bota de segurança antiderrapante; luvas mecânicas</t>
  </si>
  <si>
    <t>- Inspeção prévia dos EPIs e pontos de ancoragem
- Plano de resgate com equipe treinada
- Uso de trava-quedas retrátil em linha vertical</t>
  </si>
  <si>
    <t>Lesões graves ou fatais</t>
  </si>
  <si>
    <t>Evitar contato direto</t>
  </si>
  <si>
    <t>NAPL</t>
  </si>
  <si>
    <t>Detector de tensão</t>
  </si>
  <si>
    <t>Procedimento NR10; aviso de teste</t>
  </si>
  <si>
    <t>Detector homologado, procedimento NR10</t>
  </si>
  <si>
    <t>Pátio</t>
  </si>
  <si>
    <t>Todas as etapas</t>
  </si>
  <si>
    <t>Exposição ao calor</t>
  </si>
  <si>
    <t>Insolação, queimaduras de 1º grau</t>
  </si>
  <si>
    <t>Doença ocupacional por calor</t>
  </si>
  <si>
    <t>Planejamento conforme clima</t>
  </si>
  <si>
    <t>Coberturas temporárias</t>
  </si>
  <si>
    <t>Avisos meteorológicos; pausas</t>
  </si>
  <si>
    <t>Protetor solar; óculos UV; vestimenta leve</t>
  </si>
  <si>
    <t>Hidratação constante</t>
  </si>
  <si>
    <t>Veículo em movimento</t>
  </si>
  <si>
    <t>Lesões graves, danos materiais</t>
  </si>
  <si>
    <t>Colisão</t>
  </si>
  <si>
    <t>Planejar rota</t>
  </si>
  <si>
    <t>Limitação de velocidade; barreiras</t>
  </si>
  <si>
    <t>Sinalização de tráfego</t>
  </si>
  <si>
    <t>Cinto de segurança</t>
  </si>
  <si>
    <t>Dirigir em baixa velocidade</t>
  </si>
  <si>
    <t>Cabana GGE</t>
  </si>
  <si>
    <t>Diagnóstico elétrico</t>
  </si>
  <si>
    <t>Desenergizar</t>
  </si>
  <si>
    <t>Bloqueio e identificação</t>
  </si>
  <si>
    <t>PEX/APR; sinalização</t>
  </si>
  <si>
    <t>Vestimenta anti-chama; capacete com viseira; luvas isolantes + sobreluvas; bota isolante</t>
  </si>
  <si>
    <t>Teste com detector de tensão</t>
  </si>
  <si>
    <t>Disjuntor</t>
  </si>
  <si>
    <t>Ensaios elétricos no disjuntor</t>
  </si>
  <si>
    <t>Queimaduras graves, morte</t>
  </si>
  <si>
    <t>Arco elétrico / choque elétrico</t>
  </si>
  <si>
    <t>Evitar energização desnecessária</t>
  </si>
  <si>
    <t>Barreiras isolantes</t>
  </si>
  <si>
    <t>Aviso de teste</t>
  </si>
  <si>
    <t>Distância segura; monitoramento</t>
  </si>
  <si>
    <t>Movimentação de peças pesadas</t>
  </si>
  <si>
    <t>Peças/materiais pesados</t>
  </si>
  <si>
    <t>Lesões musculares, esmagamento, fraturas</t>
  </si>
  <si>
    <t>Impacto mecânico / esmagamento</t>
  </si>
  <si>
    <t>Evitar movimentação manual</t>
  </si>
  <si>
    <t>Cintas certificadas; munck</t>
  </si>
  <si>
    <t>Treinamento; área isolada; checklist</t>
  </si>
  <si>
    <t>Bota de segurança com biqueira; luvas mecânicas; capacete</t>
  </si>
  <si>
    <t>Realizar movimentação sob supervisão</t>
  </si>
  <si>
    <t>Remoção do motor de partida</t>
  </si>
  <si>
    <t>Fraturas, contusões</t>
  </si>
  <si>
    <t>Esmagamento / impacto</t>
  </si>
  <si>
    <t>Planejar içamento</t>
  </si>
  <si>
    <t>Talhas e suportes</t>
  </si>
  <si>
    <t>PEX/APR; comunicação</t>
  </si>
  <si>
    <t>Movimentação sob supervisão</t>
  </si>
  <si>
    <t>Reator</t>
  </si>
  <si>
    <t>Correção de vazamento em trafo/reator</t>
  </si>
  <si>
    <t>Óleo isolante</t>
  </si>
  <si>
    <t>Irritação na pele; contaminação ambiental</t>
  </si>
  <si>
    <t>Contato dérmico / vazamento</t>
  </si>
  <si>
    <t>Evitar abertura desnecessária</t>
  </si>
  <si>
    <t>Uso de buchas seladas</t>
  </si>
  <si>
    <t>Bandejas de contenção</t>
  </si>
  <si>
    <t>Avisos de risco químico</t>
  </si>
  <si>
    <t>Luvas nitrílicas; óculos de segurança</t>
  </si>
  <si>
    <t>Kit absorção; descarte correto</t>
  </si>
  <si>
    <t>Deslocamento a pé (animais peçonhentos)</t>
  </si>
  <si>
    <t>Animais peçonhentos</t>
  </si>
  <si>
    <t>Picadas, envenenamento, reações alérgicas</t>
  </si>
  <si>
    <t>Acidente com animais</t>
  </si>
  <si>
    <t>Dedetização; barreiras físicas</t>
  </si>
  <si>
    <t>PEX/APR; limpeza; inseticida</t>
  </si>
  <si>
    <t>Bota de segurança; capacete com jugular</t>
  </si>
  <si>
    <t>Evitar frestas e canaletas.</t>
  </si>
  <si>
    <t>Manejo de óleo mineral isolante</t>
  </si>
  <si>
    <t>Óleo mineral isolante</t>
  </si>
  <si>
    <t>Dermatite; contaminação ambiental</t>
  </si>
  <si>
    <t>Exposição química / contato dérmico</t>
  </si>
  <si>
    <t>Óleo menos tóxico</t>
  </si>
  <si>
    <t>Bandejas e contenção</t>
  </si>
  <si>
    <t>Avisos químicos</t>
  </si>
  <si>
    <t>Kit absorção</t>
  </si>
  <si>
    <t>Manuseio de SF6</t>
  </si>
  <si>
    <t>Gás SF6 (produto químico)</t>
  </si>
  <si>
    <t>Intoxicação; impacto ambiental</t>
  </si>
  <si>
    <t>Exposição química / inalação</t>
  </si>
  <si>
    <t>Evitar vazamento</t>
  </si>
  <si>
    <t>Sistema de contenção</t>
  </si>
  <si>
    <t>Respirador com filtro adequado; luvas nitrílicas; óculos de segurança</t>
  </si>
  <si>
    <t>Detector de vazamento</t>
  </si>
  <si>
    <t>Lesões musculares; esmagamento</t>
  </si>
  <si>
    <t>Uso de peças mais leves</t>
  </si>
  <si>
    <t>Guindaste e talhas</t>
  </si>
  <si>
    <t>Área isolada e sinalizada</t>
  </si>
  <si>
    <t>Plano de içamento</t>
  </si>
  <si>
    <t>Utilização de bombas elétricas para óleo</t>
  </si>
  <si>
    <t>Lesões graves</t>
  </si>
  <si>
    <t>Evitar uso sem inspeção</t>
  </si>
  <si>
    <t>Dispositivo DR e aterramento</t>
  </si>
  <si>
    <t>Aviso de equipamento energizado</t>
  </si>
  <si>
    <t>Vestimenta anti-chama; luvas isolantes + sobreluvas; bota isolante; capacete</t>
  </si>
  <si>
    <t>Inspeção elétrica prévia</t>
  </si>
  <si>
    <t>Deslocamento de carro (capotamento)</t>
  </si>
  <si>
    <t>Solo irregular / veículo</t>
  </si>
  <si>
    <t>Capotamento</t>
  </si>
  <si>
    <t>Nivelar vias</t>
  </si>
  <si>
    <t>Inspeção do solo</t>
  </si>
  <si>
    <t>PEX/APR; placas de alerta</t>
  </si>
  <si>
    <t>Nunca transpor tampas de canaletas</t>
  </si>
  <si>
    <t>Movimentação de ferramentas</t>
  </si>
  <si>
    <t>Ferramentas mal posicionadas</t>
  </si>
  <si>
    <t>Lesões nos pés/mãos</t>
  </si>
  <si>
    <t>Queda de objetos</t>
  </si>
  <si>
    <t>Organização</t>
  </si>
  <si>
    <t>Bancadas com contenção</t>
  </si>
  <si>
    <t>Bota de segurança; luvas mecânicas</t>
  </si>
  <si>
    <t>Manter ferramentas em caixas</t>
  </si>
  <si>
    <t>Testes funcionais</t>
  </si>
  <si>
    <t>Peças/mecanismos móveis</t>
  </si>
  <si>
    <t>Fratura, luxação</t>
  </si>
  <si>
    <t>Impacto mecânico</t>
  </si>
  <si>
    <t>PEX/APR; treinamento</t>
  </si>
  <si>
    <t>Luvas mecânicas; capacete; bota</t>
  </si>
  <si>
    <t>Piso irregular</t>
  </si>
  <si>
    <t>Escoriações, torções, fraturas leves</t>
  </si>
  <si>
    <t>Queda ao caminhar</t>
  </si>
  <si>
    <t>Nivelamento de piso</t>
  </si>
  <si>
    <t>Inspeção visual; PEX/APR</t>
  </si>
  <si>
    <t>Movimentar-se atentamente</t>
  </si>
  <si>
    <t>Pátio 13,8kV</t>
  </si>
  <si>
    <t>Complementação de Gás SF6</t>
  </si>
  <si>
    <t>Eletricidade (indução)</t>
  </si>
  <si>
    <t>Formigamento, lesões leves</t>
  </si>
  <si>
    <t>Choque indutivo</t>
  </si>
  <si>
    <t>Verificação de pontos energizados</t>
  </si>
  <si>
    <t>Procedimento NR10; controle de acesso</t>
  </si>
  <si>
    <t>Capacete com jugular; bota antiderrapante; luvas mecânicas</t>
  </si>
  <si>
    <t>- Inspeção prévia dos EPIs adequados
- Inspecionar acesso
- Usar ferramental adequado</t>
  </si>
  <si>
    <t>Deslocamento entre sala e cabana (piso escorregadio)</t>
  </si>
  <si>
    <t>Piso escorregadio/molhado</t>
  </si>
  <si>
    <t>Lesões leves</t>
  </si>
  <si>
    <t>Queda</t>
  </si>
  <si>
    <t>Limpeza imediata</t>
  </si>
  <si>
    <t>Tapetes antiderrapantes</t>
  </si>
  <si>
    <t>Sinalização</t>
  </si>
  <si>
    <t>Bota de segurança</t>
  </si>
  <si>
    <t>Caminhar com atenção</t>
  </si>
  <si>
    <t>Limpeza de peças com óleo</t>
  </si>
  <si>
    <t>Óleo/produto químico</t>
  </si>
  <si>
    <t>Irritação na pele</t>
  </si>
  <si>
    <t>Contato dérmico</t>
  </si>
  <si>
    <t>Higienização após atividade</t>
  </si>
  <si>
    <t>Teste de partida do GGE</t>
  </si>
  <si>
    <t>Fonte de ruído (motor)</t>
  </si>
  <si>
    <t>Perda auditiva temporária</t>
  </si>
  <si>
    <t>Exposição a ruído excessivo</t>
  </si>
  <si>
    <t>Barreiras acústicas</t>
  </si>
  <si>
    <t>PEX/APR; alerta sonoro</t>
  </si>
  <si>
    <t>Protetor auricular tipo concha ou plug</t>
  </si>
  <si>
    <t>Limitar tempo de exposição</t>
  </si>
  <si>
    <t>Deslocamento entre sala e cabana (obstáculos)</t>
  </si>
  <si>
    <t>Obstáculos (cabos, caixas)</t>
  </si>
  <si>
    <t>Tropeço e queda</t>
  </si>
  <si>
    <t>Passagem livre; canaletas</t>
  </si>
  <si>
    <t>Manter rota desobstruída</t>
  </si>
  <si>
    <t>Desconforto temporário</t>
  </si>
  <si>
    <t>Insolação, queimaduras</t>
  </si>
  <si>
    <t>Balaclava anti-chama; vestimenta leve; capacete; protetor solar</t>
  </si>
  <si>
    <t>CONTROLE DE PONTOS CRÍTICOS DA INTERVENÇÃO</t>
  </si>
  <si>
    <t>Perigos Elencados</t>
  </si>
  <si>
    <t>DANOS</t>
  </si>
  <si>
    <t>severidade</t>
  </si>
  <si>
    <t>1 (leve)</t>
  </si>
  <si>
    <t>3 (moderado)</t>
  </si>
  <si>
    <t>5 (grave)</t>
  </si>
  <si>
    <t xml:space="preserve">Piso escorregadio, irregular ou com desnível. </t>
  </si>
  <si>
    <t>Queda com possibilidade de lesões leves (escoriações, pequenas contusões)</t>
  </si>
  <si>
    <t>Contusão / ferimento / fratura, torções sem afastamento ou inferior a 15 dias</t>
  </si>
  <si>
    <t>Traumatismos / ferimentos / fraturas / acidentes fatais</t>
  </si>
  <si>
    <t>Ergonômico / Postura inadequada / Esforço físico / Esforço excessivo</t>
  </si>
  <si>
    <t>Problemas ósteomusculares leves (dores lombares, musculares e tensão muscular)</t>
  </si>
  <si>
    <t>Problemas ósteomusculares temporários (dores lombares e musculares), tenossinovites, contraturas musculares.</t>
  </si>
  <si>
    <t>Problemas ósteomusculares graves ou crônicos com vários episódios de agudização e perda de capacidade laboral permanente.</t>
  </si>
  <si>
    <t xml:space="preserve">Impacto mecânico </t>
  </si>
  <si>
    <t xml:space="preserve">Contusão, lesão ou distensão ósteomuscular </t>
  </si>
  <si>
    <t>Traumatismos, fraturas que levem a incapacidade permanente</t>
  </si>
  <si>
    <t>Ruído</t>
  </si>
  <si>
    <t>Desconforto temporário / irritação</t>
  </si>
  <si>
    <t>Redução da Capacidade Auditiva</t>
  </si>
  <si>
    <t xml:space="preserve">Perda auditiva </t>
  </si>
  <si>
    <t>Explosão</t>
  </si>
  <si>
    <t xml:space="preserve">Abrasão, contusão, traumatismos leves sem perda de capacidade laboral. </t>
  </si>
  <si>
    <t>Politraumatismos, queimaduras, lesões de órgãos e partes do corpo com perda de capacidade laboral temporária.</t>
  </si>
  <si>
    <t>Lesões irreversíveis de órgãos e partes do corpo com perda de capacidade laboral permanente / Morte.</t>
  </si>
  <si>
    <t>Calor Radiante / Superfícies quentes</t>
  </si>
  <si>
    <t>Desconforto temporário / cansaço / irritação</t>
  </si>
  <si>
    <t>Febre/ Queimadura de 1º e 2º</t>
  </si>
  <si>
    <t>Tumores / Câncer de pele/ Queimadura de 3º</t>
  </si>
  <si>
    <t>Produtos químicos</t>
  </si>
  <si>
    <t>Desconforto temporário / Alergias / Vômito / irritação</t>
  </si>
  <si>
    <t xml:space="preserve">Dermatite / irritação das vias respiratórias sem afastamento ou inferior a 15 dias / Queimaduras 1° e 2° </t>
  </si>
  <si>
    <t>Irritação das vias respiratórias com afastamento superior a 15 dias / Queimaduras 3°</t>
  </si>
  <si>
    <t>Gases e vapores tóxicos</t>
  </si>
  <si>
    <t>Irritação oftalmológica e respiratória</t>
  </si>
  <si>
    <t>Intoxicação</t>
  </si>
  <si>
    <t>Neuropatias, Asfixia, morte</t>
  </si>
  <si>
    <t>Animais peçonhentos e não peçonhentos</t>
  </si>
  <si>
    <t>Irritação, alergia</t>
  </si>
  <si>
    <t>Lesões corporais, intoxicação sem afastamento ou com afastamento inferior a 15 dias</t>
  </si>
  <si>
    <t>Lesões corporais, intoxicação com afastamento superior a 15 dias / Morte</t>
  </si>
  <si>
    <t>Queda com diferença de nível de escada, andaime, superficíe para sustentar pessoas / Trabalho em Altura</t>
  </si>
  <si>
    <t>Escoriações / ferimentos sem afastamento</t>
  </si>
  <si>
    <t>Contusão / ferimento / fratura sem afastamento ou inferior a 15 dias</t>
  </si>
  <si>
    <t>Contusão / ferimento / fratura com afastamento superior a 15 dias / Morte</t>
  </si>
  <si>
    <t>Energia Elétrica</t>
  </si>
  <si>
    <t>Choque de baixa tensão</t>
  </si>
  <si>
    <t>Queimadura de 1º e 2º com afastamento inferior a 15 dias</t>
  </si>
  <si>
    <t>Queimadura de 3º / Parada cardiorespiratória / Morte</t>
  </si>
  <si>
    <t>Espaços Confinados</t>
  </si>
  <si>
    <t>Mal súbito / queda de pressão arterial / tonturas</t>
  </si>
  <si>
    <t>Desmaio / Queda com afastamento inferior a 15 dias / Intoxicação</t>
  </si>
  <si>
    <t>Morte</t>
  </si>
  <si>
    <t>Corte /Ferimentos leves sem afastamento</t>
  </si>
  <si>
    <t>Ferimentos com afastamento inferior inferior a 15 dias</t>
  </si>
  <si>
    <t>Ferimentos / Fraturas / Traumatismo com afastamento superior a 15 dias / Morte</t>
  </si>
  <si>
    <t>Materiais e ferramentas perfurocortantes</t>
  </si>
  <si>
    <t>Escoriações / ferimento superficial</t>
  </si>
  <si>
    <t>Cortes / Ferimentos com afastamento inferior a 15 dias</t>
  </si>
  <si>
    <t>Cortes / Ferimentos com afastamento superior a 15 dias</t>
  </si>
  <si>
    <t>Máquinas em movimento</t>
  </si>
  <si>
    <t>Prensagem / ferimentos com afastamento inferior a 15 dias</t>
  </si>
  <si>
    <t>Amputação / contusão com afastamento superior a 15 dias</t>
  </si>
  <si>
    <t>Produtos inflamáveis</t>
  </si>
  <si>
    <t xml:space="preserve"> Irritação / intoxicação</t>
  </si>
  <si>
    <t>Queimaduras de1º e 2º que gerem afastamentos inferiores a 15 dias</t>
  </si>
  <si>
    <t>Queimaduras 3º ou que gerem afastamento superiores a 15 dias / Morte</t>
  </si>
  <si>
    <t>Veículos em movimento / Uso do veículo</t>
  </si>
  <si>
    <t>Escoriações / ferimento superficial/ Danos materiais</t>
  </si>
  <si>
    <t xml:space="preserve">Contusão / Fratura / Traumatismo sem afastamento ou com afastamento inferior a 15 dias </t>
  </si>
  <si>
    <t>Contusão / Fratura / Amputação / Traumatismo / sem afastamento ou com afastamento inferior a 15 dias / Morte</t>
  </si>
  <si>
    <t>Contaminação microbiológica</t>
  </si>
  <si>
    <t>Irritação</t>
  </si>
  <si>
    <t>Infecções que gerem afastamentos inferiores a 15 dias</t>
  </si>
  <si>
    <t>Infecções que gerem afastamentos superiores a 15 dias</t>
  </si>
  <si>
    <t>Fumos metálicos</t>
  </si>
  <si>
    <t xml:space="preserve">Irritação das vias respiratórias </t>
  </si>
  <si>
    <t>Doença respiratória sem afastamento ou com afastamento inferior a 15 dias</t>
  </si>
  <si>
    <t>Doenças Ocupacionais irreversíveis</t>
  </si>
  <si>
    <t>Furtos /roubos</t>
  </si>
  <si>
    <t xml:space="preserve">Contusão / Fratura sem afastamento ou com afastamento inferior a 15 dias </t>
  </si>
  <si>
    <t>Contusão / Fratura com afastamento superior a 15 dias / acidente fatal</t>
  </si>
  <si>
    <t>Exposição à Vibração</t>
  </si>
  <si>
    <t>Dores no ouvido , mão / Formigamento sem afastamento ou inferior a 15 dias</t>
  </si>
  <si>
    <t>Diminuição da sensibilidade</t>
  </si>
  <si>
    <t>Exposição à Incêndio / Explosões</t>
  </si>
  <si>
    <t>Danos materiais / Ferimentos superficiais / intoxicação</t>
  </si>
  <si>
    <t xml:space="preserve">Contusão / Fratura / Queimaduras com afastamento inferior a 15 dias </t>
  </si>
  <si>
    <t>Acidente fatal / Queimadura de 3º grau</t>
  </si>
  <si>
    <t>Exposição à queda de materiais, equipamentos e ferramentas</t>
  </si>
  <si>
    <t>Danos materiais / Ferimentos superficiais</t>
  </si>
  <si>
    <t xml:space="preserve">Contusão / Ferimentos com afastamento inferior a 15 dias </t>
  </si>
  <si>
    <t>Acidente fatal / Contusão / ferimentos com afastamento superior a 15 dias</t>
  </si>
  <si>
    <t>Respingo de material sólido ou líquido</t>
  </si>
  <si>
    <t>Irritação pele avermelhada</t>
  </si>
  <si>
    <t xml:space="preserve">Contusão / Queimaduras com afastamento inferior a 15 dias </t>
  </si>
  <si>
    <t>Contusão / Ferimento / Queimadura de 3º com afastamento superior a 15 dias</t>
  </si>
  <si>
    <t>Uso de sapato com salto alto</t>
  </si>
  <si>
    <t>Contusão / ferimento / fratura com afastamento superior a 15 dias</t>
  </si>
  <si>
    <t>Exposição à trabalhos sob intempéries</t>
  </si>
  <si>
    <t>Tosses /Febre</t>
  </si>
  <si>
    <t>Doença respiratória / Bronquite / Pneumonia com afastamento superior a 15 dias</t>
  </si>
  <si>
    <t>Uso de arma de fogo</t>
  </si>
  <si>
    <t>Contusão / ferimento / fratura com afastamento superior a 15 dias / Acidente fatal</t>
  </si>
  <si>
    <t>Exposição à queda de mesmo nível</t>
  </si>
  <si>
    <t xml:space="preserve">Contusão / ferimento / fratura com afastamento superior a 15 dias </t>
  </si>
  <si>
    <t>Ferramenta inadequada ou defeituosa</t>
  </si>
  <si>
    <t xml:space="preserve">Contusão / Fratura / sem afastamento ou com afastamento inferior a 15 dias </t>
  </si>
  <si>
    <t xml:space="preserve">Corte / Fratura / Ferimento com afastamento superior a 15 dias </t>
  </si>
  <si>
    <t>Exposição à poeiras minerais</t>
  </si>
  <si>
    <t>Desconforto Temporário / alergias /tosse / irritações</t>
  </si>
  <si>
    <t>Doença respiratória / Bronquite com afastamento superior a 15 dias</t>
  </si>
  <si>
    <t>Exposição à problemas ergonômicos</t>
  </si>
  <si>
    <t xml:space="preserve">Desconforto físico temporário </t>
  </si>
  <si>
    <t>Dores muscular sem afastamento ou com afastamento inferior a 15 dias</t>
  </si>
  <si>
    <t>Tendinites, comprometimento parcial ou total de movimentos de partes do corpo</t>
  </si>
  <si>
    <t>Exposição à queda com diferença de nível de escada, plataforma, superficíe para sustentar pessoas</t>
  </si>
  <si>
    <t>Contusão / ferimento / fratura com afastamento superior a 15 dias / acidentes fatais</t>
  </si>
  <si>
    <t>Exposição a equipamentos de transportes (patinhas)</t>
  </si>
  <si>
    <t>Exposição a baixas temperaturas</t>
  </si>
  <si>
    <t xml:space="preserve">Desconforto Térmico temporário/hipotermia </t>
  </si>
  <si>
    <t xml:space="preserve">Desconforto térmico temporário/ hipotermia sem afastamento ou inferior a 15 dias </t>
  </si>
  <si>
    <t xml:space="preserve">Desconforto térmico temporário/ hipotermia com afastamento ou superior a 15 dias </t>
  </si>
  <si>
    <t>Exposição a corpo estranho</t>
  </si>
  <si>
    <t>Irritação ocular leve/ Desconforto</t>
  </si>
  <si>
    <t xml:space="preserve">Irritação na córnea sem afastamento ou inferior a 15 dias </t>
  </si>
  <si>
    <t>Irritação na córnea com redução ou perda da capacidade ocular com afastamento superior a 15 dias</t>
  </si>
  <si>
    <t>Severidade</t>
  </si>
  <si>
    <t>TABELA/MATRIZ</t>
  </si>
  <si>
    <t>1 Leve (L)</t>
  </si>
  <si>
    <t>2 Baixa (B)</t>
  </si>
  <si>
    <t>3 Média(M)</t>
  </si>
  <si>
    <t>4 Alta (A)</t>
  </si>
  <si>
    <t>5 Muito Alta (MA)</t>
  </si>
  <si>
    <t>Probabilidade</t>
  </si>
  <si>
    <t>5 (Quase Certo)</t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</si>
  <si>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(21)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</si>
  <si>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(22)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</si>
  <si>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(23)</t>
    </r>
  </si>
  <si>
    <r>
      <rPr>
        <sz val="14"/>
        <color rgb="FFFF0000"/>
        <rFont val="Aptos Narrow"/>
        <family val="2"/>
      </rPr>
      <t>⁴</t>
    </r>
    <r>
      <rPr>
        <sz val="14"/>
        <color theme="1"/>
        <rFont val="Aptos Narrow"/>
        <family val="2"/>
        <scheme val="minor"/>
      </rPr>
      <t>Muito Alto 
(24)</t>
    </r>
  </si>
  <si>
    <r>
      <rPr>
        <sz val="14"/>
        <color rgb="FFFF0000"/>
        <rFont val="Aptos Narrow"/>
        <family val="2"/>
        <scheme val="minor"/>
      </rPr>
      <t>⁴</t>
    </r>
    <r>
      <rPr>
        <sz val="14"/>
        <color theme="1"/>
        <rFont val="Aptos Narrow"/>
        <family val="2"/>
        <scheme val="minor"/>
      </rPr>
      <t>Muito Alto 
(25)</t>
    </r>
  </si>
  <si>
    <t>4 (Provável)</t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</si>
  <si>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(16)</t>
    </r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</si>
  <si>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(17)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</si>
  <si>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(18)</t>
    </r>
  </si>
  <si>
    <r>
      <rPr>
        <sz val="14"/>
        <color rgb="FFFF0000"/>
        <rFont val="Aptos Narrow"/>
        <family val="2"/>
        <scheme val="minor"/>
      </rPr>
      <t>⁴</t>
    </r>
    <r>
      <rPr>
        <sz val="14"/>
        <color theme="1"/>
        <rFont val="Aptos Narrow"/>
        <family val="2"/>
        <scheme val="minor"/>
      </rPr>
      <t>Muito Alto 
(19)</t>
    </r>
  </si>
  <si>
    <r>
      <rPr>
        <sz val="14"/>
        <color rgb="FFFF0000"/>
        <rFont val="Aptos Narrow"/>
        <family val="2"/>
        <scheme val="minor"/>
      </rPr>
      <t>⁴</t>
    </r>
    <r>
      <rPr>
        <sz val="14"/>
        <color theme="1"/>
        <rFont val="Aptos Narrow"/>
        <family val="2"/>
        <scheme val="minor"/>
      </rPr>
      <t>Muito Alto 
(20)</t>
    </r>
  </si>
  <si>
    <t>3 (Possível)</t>
  </si>
  <si>
    <r>
      <rPr>
        <sz val="14"/>
        <color rgb="FF3C7D22"/>
        <rFont val="Aptos Narrow"/>
        <family val="2"/>
        <scheme val="minor"/>
      </rPr>
      <t>¹</t>
    </r>
    <r>
      <rPr>
        <sz val="14"/>
        <color theme="1"/>
        <rFont val="Aptos Narrow"/>
        <family val="2"/>
        <scheme val="minor"/>
      </rPr>
      <t>Baixo 
(11)</t>
    </r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</si>
  <si>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(12)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</si>
  <si>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(13)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</si>
  <si>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(14)</t>
    </r>
  </si>
  <si>
    <r>
      <rPr>
        <sz val="14"/>
        <color rgb="FFFF0000"/>
        <rFont val="Aptos Narrow"/>
        <family val="2"/>
        <scheme val="minor"/>
      </rPr>
      <t>⁴</t>
    </r>
    <r>
      <rPr>
        <sz val="14"/>
        <color theme="1"/>
        <rFont val="Aptos Narrow"/>
        <family val="2"/>
        <scheme val="minor"/>
      </rPr>
      <t>Muito Alto 
(15)</t>
    </r>
  </si>
  <si>
    <t>2 (Improvável)</t>
  </si>
  <si>
    <r>
      <rPr>
        <sz val="14"/>
        <color rgb="FF3C7D22"/>
        <rFont val="Aptos Narrow"/>
        <family val="2"/>
        <scheme val="minor"/>
      </rPr>
      <t>¹</t>
    </r>
    <r>
      <rPr>
        <sz val="14"/>
        <color theme="1"/>
        <rFont val="Aptos Narrow"/>
        <family val="2"/>
        <scheme val="minor"/>
      </rPr>
      <t>Baixo 
(6)</t>
    </r>
  </si>
  <si>
    <r>
      <rPr>
        <sz val="14"/>
        <color rgb="FF3C7D22"/>
        <rFont val="Aptos Narrow"/>
        <family val="2"/>
        <scheme val="minor"/>
      </rPr>
      <t>¹</t>
    </r>
    <r>
      <rPr>
        <sz val="14"/>
        <color theme="1"/>
        <rFont val="Aptos Narrow"/>
        <family val="2"/>
        <scheme val="minor"/>
      </rPr>
      <t>Baixo 
(7)</t>
    </r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</si>
  <si>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(8)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</si>
  <si>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(9)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</si>
  <si>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(10)</t>
    </r>
  </si>
  <si>
    <t>1 (Raro)</t>
  </si>
  <si>
    <r>
      <rPr>
        <sz val="14"/>
        <color rgb="FF3C7D22"/>
        <rFont val="Aptos Narrow"/>
        <family val="2"/>
        <scheme val="minor"/>
      </rPr>
      <t>¹</t>
    </r>
    <r>
      <rPr>
        <sz val="14"/>
        <color theme="1"/>
        <rFont val="Aptos Narrow"/>
        <family val="2"/>
        <scheme val="minor"/>
      </rPr>
      <t>Baixo 
(1)</t>
    </r>
  </si>
  <si>
    <r>
      <rPr>
        <sz val="14"/>
        <color rgb="FF3C7D22"/>
        <rFont val="Aptos Narrow"/>
        <family val="2"/>
        <scheme val="minor"/>
      </rPr>
      <t>¹</t>
    </r>
    <r>
      <rPr>
        <sz val="14"/>
        <color theme="1"/>
        <rFont val="Aptos Narrow"/>
        <family val="2"/>
        <scheme val="minor"/>
      </rPr>
      <t>Baixo 
(2)</t>
    </r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</si>
  <si>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(3)</t>
    </r>
  </si>
  <si>
    <r>
      <rPr>
        <sz val="14"/>
        <color rgb="FFFFFF00"/>
        <rFont val="Aptos Narrow"/>
        <family val="2"/>
        <scheme val="minor"/>
      </rPr>
      <t>²</t>
    </r>
    <r>
      <rPr>
        <sz val="14"/>
        <color theme="1"/>
        <rFont val="Aptos Narrow"/>
        <family val="2"/>
        <scheme val="minor"/>
      </rPr>
      <t>Médio 
(4)</t>
    </r>
  </si>
  <si>
    <r>
      <rPr>
        <sz val="14"/>
        <color rgb="FFFFC000"/>
        <rFont val="Aptos Narrow"/>
        <family val="2"/>
        <scheme val="minor"/>
      </rPr>
      <t>³</t>
    </r>
    <r>
      <rPr>
        <sz val="14"/>
        <color theme="1"/>
        <rFont val="Aptos Narrow"/>
        <family val="2"/>
        <scheme val="minor"/>
      </rPr>
      <t>Alto 
(5)</t>
    </r>
  </si>
  <si>
    <t>probabilidade</t>
  </si>
  <si>
    <t>Baixo</t>
  </si>
  <si>
    <t>Médio</t>
  </si>
  <si>
    <t>Alto</t>
  </si>
  <si>
    <t>Muito Alto</t>
  </si>
  <si>
    <t>CLASSIFICAÇÃO DO RISCO</t>
  </si>
  <si>
    <t>Leve (L)</t>
  </si>
  <si>
    <t>Raro</t>
  </si>
  <si>
    <t>Leve (Primeiros Socorros)</t>
  </si>
  <si>
    <t>Raro (&gt;1 vez/mês)</t>
  </si>
  <si>
    <t>Baixa (B)</t>
  </si>
  <si>
    <t>Improvável</t>
  </si>
  <si>
    <t>Baixa (Tratamento Médico)</t>
  </si>
  <si>
    <t>Improvável (&lt;1/mês e &gt;1/ano)</t>
  </si>
  <si>
    <t>Média(M)</t>
  </si>
  <si>
    <t>Possível</t>
  </si>
  <si>
    <t>Média (Afastamento)</t>
  </si>
  <si>
    <t>Possível (~1 vez/5 anos)</t>
  </si>
  <si>
    <t>Alta (A)</t>
  </si>
  <si>
    <t>Provável</t>
  </si>
  <si>
    <t>Alta (Invalidez Permanente ou Fatalidade Única)</t>
  </si>
  <si>
    <t>Provável (&lt;1 vez/5 anos)</t>
  </si>
  <si>
    <t>Muito Alta (MA)</t>
  </si>
  <si>
    <t>Quase Certo</t>
  </si>
  <si>
    <t>Muito Alta (Múltiplas Invalidez Permanente ou Múltiplas Fatalidades)</t>
  </si>
  <si>
    <t>Quase Certo (Circunstâncias excepcionais; s/ registros)</t>
  </si>
  <si>
    <t>MATRIZ DE RISCO</t>
  </si>
  <si>
    <t>Severidade (Efeito / Consequência) da Condição Perigosa</t>
  </si>
  <si>
    <t>(considerar a severidade máxima razoável do evento)</t>
  </si>
  <si>
    <r>
      <t xml:space="preserve">Tipo de Perda </t>
    </r>
    <r>
      <rPr>
        <i/>
        <sz val="17"/>
        <color rgb="FF000000"/>
        <rFont val="Arial"/>
        <family val="2"/>
      </rPr>
      <t>("Tipos de Perda" adicionais podem existir em um evento: Identifique-as e classifique-as adequadamente)</t>
    </r>
  </si>
  <si>
    <t>3 Média (M)</t>
  </si>
  <si>
    <t>SEGURANÇA</t>
  </si>
  <si>
    <t>Caso de Primeiros Socorros.</t>
  </si>
  <si>
    <t>Caso de Tratamento Médico.</t>
  </si>
  <si>
    <t>Caso de Afastamento.</t>
  </si>
  <si>
    <t>Caso de Invalidez Permanente ou Fatalidade Única.</t>
  </si>
  <si>
    <t>Casos Múltiplos de Invalidez Permanente ou Múltiplas Fatalidades.</t>
  </si>
  <si>
    <t>Lesão à Pessoa - Segurança</t>
  </si>
  <si>
    <t>SAÚDE Dano à pessoa - Saúde ocupacional</t>
  </si>
  <si>
    <r>
      <t xml:space="preserve">Exposição a perigo de saúde </t>
    </r>
    <r>
      <rPr>
        <b/>
        <sz val="17"/>
        <color rgb="FF000000"/>
        <rFont val="Arial"/>
        <family val="2"/>
      </rPr>
      <t>resultando em um pequeno desconforto</t>
    </r>
    <r>
      <rPr>
        <sz val="17"/>
        <color rgb="FF000000"/>
        <rFont val="Arial"/>
        <family val="2"/>
      </rPr>
      <t>.</t>
    </r>
  </si>
  <si>
    <r>
      <t xml:space="preserve">Exposição a perigo de saúde </t>
    </r>
    <r>
      <rPr>
        <b/>
        <sz val="17"/>
        <color rgb="FF000000"/>
        <rFont val="Arial"/>
        <family val="2"/>
      </rPr>
      <t>resultando em sintomas que exigem intervenção médica e recuperação completa (sem afastamento)</t>
    </r>
    <r>
      <rPr>
        <sz val="17"/>
        <color rgb="FF000000"/>
        <rFont val="Arial"/>
        <family val="2"/>
      </rPr>
      <t>.</t>
    </r>
  </si>
  <si>
    <r>
      <t xml:space="preserve">Exposição a perigos de saúde/agentes (acima do LT) </t>
    </r>
    <r>
      <rPr>
        <b/>
        <sz val="17"/>
        <color rgb="FF000000"/>
        <rFont val="Arial"/>
        <family val="2"/>
      </rPr>
      <t>resultando em impacto reversível sobre a saúde (com afastamento) ou mudança permanente sem invalidez ou perda de qualidade de vida</t>
    </r>
    <r>
      <rPr>
        <sz val="17"/>
        <color rgb="FF000000"/>
        <rFont val="Arial"/>
        <family val="2"/>
      </rPr>
      <t>.</t>
    </r>
  </si>
  <si>
    <r>
      <t xml:space="preserve">Exposição a perigos de saúde/agentes (significativamente acima do LT) resultando em </t>
    </r>
    <r>
      <rPr>
        <b/>
        <sz val="17"/>
        <color rgb="FF000000"/>
        <rFont val="Arial"/>
        <family val="2"/>
      </rPr>
      <t>impacto irreversível sobre a saúde, com perda de qualidade de vida (invalidez permanente) ou fatalidade única</t>
    </r>
    <r>
      <rPr>
        <sz val="17"/>
        <color rgb="FF000000"/>
        <rFont val="Arial"/>
        <family val="2"/>
      </rPr>
      <t>.</t>
    </r>
  </si>
  <si>
    <r>
      <t xml:space="preserve">Exposição a perigos de saúde/agentes (significativamente acima do LT) resultando em </t>
    </r>
    <r>
      <rPr>
        <b/>
        <sz val="17"/>
        <color rgb="FF000000"/>
        <rFont val="Arial"/>
        <family val="2"/>
      </rPr>
      <t>impacto irreversível sobre a saúde, com perda de qualidade de vida de um grupo/população numerosa ou múltiplas fatalidades</t>
    </r>
    <r>
      <rPr>
        <sz val="17"/>
        <color rgb="FF000000"/>
        <rFont val="Arial"/>
        <family val="2"/>
      </rPr>
      <t>.</t>
    </r>
  </si>
  <si>
    <t>Considerando a presença e magnitude do perigo e a exposição a esse perigo (número de pessoas e frequência de tarefas que expõem essas pessoas), assim como o status dos controles existentes.</t>
  </si>
  <si>
    <t>CLASSIFICAÇÃO DE RISCO</t>
  </si>
  <si>
    <r>
      <t xml:space="preserve">O evento indesejado pode ocorrer na </t>
    </r>
    <r>
      <rPr>
        <b/>
        <sz val="17"/>
        <color rgb="FF000000"/>
        <rFont val="Arial"/>
        <family val="2"/>
      </rPr>
      <t>frequência de mais de uma vez ao mês</t>
    </r>
    <r>
      <rPr>
        <sz val="17"/>
        <color rgb="FF000000"/>
        <rFont val="Arial"/>
        <family val="2"/>
      </rPr>
      <t>.</t>
    </r>
  </si>
  <si>
    <t>(Quase Certo)</t>
  </si>
  <si>
    <t>11 (M)</t>
  </si>
  <si>
    <t>16 (A)</t>
  </si>
  <si>
    <t>20 (A)</t>
  </si>
  <si>
    <t>23 (MA)</t>
  </si>
  <si>
    <t>25 (MA)</t>
  </si>
  <si>
    <t>q21</t>
  </si>
  <si>
    <t>q22</t>
  </si>
  <si>
    <t>q23</t>
  </si>
  <si>
    <t>q24</t>
  </si>
  <si>
    <t>q25</t>
  </si>
  <si>
    <r>
      <t xml:space="preserve">O evento indesejado pode ocorrer na </t>
    </r>
    <r>
      <rPr>
        <b/>
        <sz val="17"/>
        <color rgb="FF000000"/>
        <rFont val="Arial"/>
        <family val="2"/>
      </rPr>
      <t>frequência de menos de uma vez ao mês, mas mais de uma vez ao ano</t>
    </r>
    <r>
      <rPr>
        <sz val="17"/>
        <color rgb="FF000000"/>
        <rFont val="Arial"/>
        <family val="2"/>
      </rPr>
      <t>.</t>
    </r>
  </si>
  <si>
    <t>(Provável)</t>
  </si>
  <si>
    <t>7 (M)</t>
  </si>
  <si>
    <t>12 (M)</t>
  </si>
  <si>
    <t>17 (A)</t>
  </si>
  <si>
    <t>21 (MA)</t>
  </si>
  <si>
    <t>24 (MA)</t>
  </si>
  <si>
    <t>q16</t>
  </si>
  <si>
    <t>q17</t>
  </si>
  <si>
    <t>q18</t>
  </si>
  <si>
    <t>q19</t>
  </si>
  <si>
    <t>q20</t>
  </si>
  <si>
    <r>
      <t xml:space="preserve">O evento indesejado pode ocorrer na </t>
    </r>
    <r>
      <rPr>
        <b/>
        <sz val="17"/>
        <color rgb="FF000000"/>
        <rFont val="Arial"/>
        <family val="2"/>
      </rPr>
      <t>frequência de uma vez a cada cinco anos</t>
    </r>
    <r>
      <rPr>
        <sz val="17"/>
        <color rgb="FF000000"/>
        <rFont val="Arial"/>
        <family val="2"/>
      </rPr>
      <t>.</t>
    </r>
  </si>
  <si>
    <t>(Possível)</t>
  </si>
  <si>
    <t>4 (B)</t>
  </si>
  <si>
    <t>8 (M)</t>
  </si>
  <si>
    <t>13 (A)</t>
  </si>
  <si>
    <t>18 (A)</t>
  </si>
  <si>
    <t>22 (MA)</t>
  </si>
  <si>
    <t>q11</t>
  </si>
  <si>
    <t>q12</t>
  </si>
  <si>
    <t>q13</t>
  </si>
  <si>
    <t>q14</t>
  </si>
  <si>
    <t>q15</t>
  </si>
  <si>
    <r>
      <t xml:space="preserve">O evento indesejado pode ocorrer na </t>
    </r>
    <r>
      <rPr>
        <b/>
        <sz val="17"/>
        <color rgb="FF000000"/>
        <rFont val="Arial"/>
        <family val="2"/>
      </rPr>
      <t>frequência de menos de uma vez a cada cinco anos</t>
    </r>
    <r>
      <rPr>
        <sz val="17"/>
        <color rgb="FF000000"/>
        <rFont val="Arial"/>
        <family val="2"/>
      </rPr>
      <t>.</t>
    </r>
  </si>
  <si>
    <t>(Improvável)</t>
  </si>
  <si>
    <t>2 (B)</t>
  </si>
  <si>
    <t>5 (B)</t>
  </si>
  <si>
    <t>9 (M)</t>
  </si>
  <si>
    <t>14 (A)</t>
  </si>
  <si>
    <t>19 (A)</t>
  </si>
  <si>
    <t>q6</t>
  </si>
  <si>
    <t>q7</t>
  </si>
  <si>
    <t>q8</t>
  </si>
  <si>
    <t>q9</t>
  </si>
  <si>
    <t>q10</t>
  </si>
  <si>
    <r>
      <t xml:space="preserve">O evento indesejado somente pode ocorrer em </t>
    </r>
    <r>
      <rPr>
        <b/>
        <sz val="17"/>
        <color rgb="FF000000"/>
        <rFont val="Arial"/>
        <family val="2"/>
      </rPr>
      <t>circunstâncias excepcionais</t>
    </r>
    <r>
      <rPr>
        <sz val="17"/>
        <color rgb="FF000000"/>
        <rFont val="Arial"/>
        <family val="2"/>
      </rPr>
      <t xml:space="preserve"> ou é improvável sua ocorrência. Não registro deste evento.</t>
    </r>
  </si>
  <si>
    <t>(Raro)</t>
  </si>
  <si>
    <t>1 (B)</t>
  </si>
  <si>
    <t>3 (B)</t>
  </si>
  <si>
    <t>6 (M)</t>
  </si>
  <si>
    <t>10 (M)</t>
  </si>
  <si>
    <t>15 (A)</t>
  </si>
  <si>
    <t>q1</t>
  </si>
  <si>
    <t>q2</t>
  </si>
  <si>
    <t>q3</t>
  </si>
  <si>
    <t>q4</t>
  </si>
  <si>
    <t>q5</t>
  </si>
  <si>
    <t>Tipo Documento</t>
  </si>
  <si>
    <t>Avaliação do Risco</t>
  </si>
  <si>
    <t>Encarregado/ Resp. da SI</t>
  </si>
  <si>
    <t>Baixo ou Nenhum</t>
  </si>
  <si>
    <t>ABA</t>
  </si>
  <si>
    <t>Encarregado da Equipe</t>
  </si>
  <si>
    <t>Substituto da SI</t>
  </si>
  <si>
    <t>OM</t>
  </si>
  <si>
    <t>ALX</t>
  </si>
  <si>
    <t>Segurança do Sistema</t>
  </si>
  <si>
    <t>Responsável da SI</t>
  </si>
  <si>
    <t>Operação Local</t>
  </si>
  <si>
    <t>AT</t>
  </si>
  <si>
    <t>AQD</t>
  </si>
  <si>
    <t>Técnico de Segurança do Trabalho</t>
  </si>
  <si>
    <t>AUD</t>
  </si>
  <si>
    <t>BEA</t>
  </si>
  <si>
    <t>BES</t>
  </si>
  <si>
    <t>CMA</t>
  </si>
  <si>
    <t>CPE</t>
  </si>
  <si>
    <t>CTD</t>
  </si>
  <si>
    <t>DMG</t>
  </si>
  <si>
    <t>ELM</t>
  </si>
  <si>
    <t>FTZ</t>
  </si>
  <si>
    <t>FZD</t>
  </si>
  <si>
    <t>IBD</t>
  </si>
  <si>
    <t>ICO</t>
  </si>
  <si>
    <t>MLG</t>
  </si>
  <si>
    <t>MND</t>
  </si>
  <si>
    <t>MSD</t>
  </si>
  <si>
    <t>MSQ</t>
  </si>
  <si>
    <t>MTD</t>
  </si>
  <si>
    <t>PIC</t>
  </si>
  <si>
    <t>PED</t>
  </si>
  <si>
    <t>PRI</t>
  </si>
  <si>
    <t>PCD</t>
  </si>
  <si>
    <t>QXA</t>
  </si>
  <si>
    <t>QXR</t>
  </si>
  <si>
    <t>RSD</t>
  </si>
  <si>
    <t>SBD</t>
  </si>
  <si>
    <t>SBT</t>
  </si>
  <si>
    <t>SJI</t>
  </si>
  <si>
    <t>SLD</t>
  </si>
  <si>
    <t>SLT</t>
  </si>
  <si>
    <t>TAD</t>
  </si>
  <si>
    <t>TGD</t>
  </si>
  <si>
    <t>TSA</t>
  </si>
  <si>
    <t>TSD</t>
  </si>
  <si>
    <t>TST</t>
  </si>
  <si>
    <t>UCR</t>
  </si>
  <si>
    <t>UBE</t>
  </si>
  <si>
    <t>ABX</t>
  </si>
  <si>
    <t>ACD</t>
  </si>
  <si>
    <t>ACT</t>
  </si>
  <si>
    <t>AGD</t>
  </si>
  <si>
    <t>AGL</t>
  </si>
  <si>
    <t>ALD</t>
  </si>
  <si>
    <t>ART</t>
  </si>
  <si>
    <t>BDD</t>
  </si>
  <si>
    <t>BGI</t>
  </si>
  <si>
    <t>BJD</t>
  </si>
  <si>
    <t>BJS</t>
  </si>
  <si>
    <t>BMC</t>
  </si>
  <si>
    <t>BNO</t>
  </si>
  <si>
    <t>BRA</t>
  </si>
  <si>
    <t>BRD</t>
  </si>
  <si>
    <t>CCD</t>
  </si>
  <si>
    <t>CFO</t>
  </si>
  <si>
    <t>CGD</t>
  </si>
  <si>
    <t>CGT</t>
  </si>
  <si>
    <t>CID</t>
  </si>
  <si>
    <t>CMD</t>
  </si>
  <si>
    <t>CMQ</t>
  </si>
  <si>
    <t>CND</t>
  </si>
  <si>
    <t>CRD</t>
  </si>
  <si>
    <t>CTG</t>
  </si>
  <si>
    <t>CTM</t>
  </si>
  <si>
    <t>CTU</t>
  </si>
  <si>
    <t>ENP</t>
  </si>
  <si>
    <t>ETD</t>
  </si>
  <si>
    <t>FNL</t>
  </si>
  <si>
    <t>FST</t>
  </si>
  <si>
    <t>FTD</t>
  </si>
  <si>
    <t>FUT</t>
  </si>
  <si>
    <t>GNN</t>
  </si>
  <si>
    <t>GPX</t>
  </si>
  <si>
    <t>GRD</t>
  </si>
  <si>
    <t>GVM</t>
  </si>
  <si>
    <t>IBT</t>
  </si>
  <si>
    <t>ICA</t>
  </si>
  <si>
    <t>IGD</t>
  </si>
  <si>
    <t>IGT</t>
  </si>
  <si>
    <t>IRE</t>
  </si>
  <si>
    <t>ITB</t>
  </si>
  <si>
    <t>ITH</t>
  </si>
  <si>
    <t>ITI</t>
  </si>
  <si>
    <t>ITP</t>
  </si>
  <si>
    <t>JBD</t>
  </si>
  <si>
    <t>JCD</t>
  </si>
  <si>
    <t>JCR</t>
  </si>
  <si>
    <t>JCT</t>
  </si>
  <si>
    <t>JDM</t>
  </si>
  <si>
    <t>JER</t>
  </si>
  <si>
    <t>JGR</t>
  </si>
  <si>
    <t>JPD</t>
  </si>
  <si>
    <t>JRM</t>
  </si>
  <si>
    <t>JZD</t>
  </si>
  <si>
    <t>JZT</t>
  </si>
  <si>
    <t>LAC</t>
  </si>
  <si>
    <t>LGZ</t>
  </si>
  <si>
    <t>LND</t>
  </si>
  <si>
    <t>MCD</t>
  </si>
  <si>
    <t>MCO</t>
  </si>
  <si>
    <t>MDR</t>
  </si>
  <si>
    <t>MID</t>
  </si>
  <si>
    <t>MLU</t>
  </si>
  <si>
    <t>MPD</t>
  </si>
  <si>
    <t>MRD</t>
  </si>
  <si>
    <t>MRR</t>
  </si>
  <si>
    <t>MSI</t>
  </si>
  <si>
    <t>MTT</t>
  </si>
  <si>
    <t>MXT</t>
  </si>
  <si>
    <t>NSC</t>
  </si>
  <si>
    <t>NTD</t>
  </si>
  <si>
    <t>NTT</t>
  </si>
  <si>
    <t>OLD</t>
  </si>
  <si>
    <t>OUR</t>
  </si>
  <si>
    <t>PAF</t>
  </si>
  <si>
    <t>PAQ</t>
  </si>
  <si>
    <t>PEN</t>
  </si>
  <si>
    <t>PFE</t>
  </si>
  <si>
    <t>PLD</t>
  </si>
  <si>
    <t>PLO</t>
  </si>
  <si>
    <t>PND</t>
  </si>
  <si>
    <t>POD</t>
  </si>
  <si>
    <t>PRD</t>
  </si>
  <si>
    <t>PRS</t>
  </si>
  <si>
    <t>PTU</t>
  </si>
  <si>
    <t>RCD</t>
  </si>
  <si>
    <t>RIB</t>
  </si>
  <si>
    <t>RID</t>
  </si>
  <si>
    <t>RLD</t>
  </si>
  <si>
    <t>SMD</t>
  </si>
  <si>
    <t>SNB</t>
  </si>
  <si>
    <t>SOB</t>
  </si>
  <si>
    <t>SPU</t>
  </si>
  <si>
    <t>SRD</t>
  </si>
  <si>
    <t>STD</t>
  </si>
  <si>
    <t>STJ</t>
  </si>
  <si>
    <t>STN</t>
  </si>
  <si>
    <t>SUD</t>
  </si>
  <si>
    <t>SUT</t>
  </si>
  <si>
    <t>TAC</t>
  </si>
  <si>
    <t>TAT</t>
  </si>
  <si>
    <t>TBV</t>
  </si>
  <si>
    <t>TFD</t>
  </si>
  <si>
    <t>TRS</t>
  </si>
  <si>
    <t>XGO</t>
  </si>
  <si>
    <t>ZBD</t>
  </si>
  <si>
    <t>ZBU</t>
  </si>
  <si>
    <t>FD1</t>
  </si>
  <si>
    <t>FD2</t>
  </si>
  <si>
    <t>FD3</t>
  </si>
  <si>
    <t>FD4</t>
  </si>
  <si>
    <t>FD5</t>
  </si>
  <si>
    <t>CNA</t>
  </si>
  <si>
    <t>PTL</t>
  </si>
  <si>
    <t>UFL</t>
  </si>
  <si>
    <t>UPE</t>
  </si>
  <si>
    <t>UTC</t>
  </si>
  <si>
    <t>ULG</t>
  </si>
  <si>
    <t>UAS</t>
  </si>
  <si>
    <t>USD</t>
  </si>
  <si>
    <t>UST</t>
  </si>
  <si>
    <t>USU</t>
  </si>
  <si>
    <t>ACU</t>
  </si>
  <si>
    <t>AN2</t>
  </si>
  <si>
    <t>ARA</t>
  </si>
  <si>
    <t>CAR</t>
  </si>
  <si>
    <t>CNT</t>
  </si>
  <si>
    <t>CO3</t>
  </si>
  <si>
    <t>CQ2</t>
  </si>
  <si>
    <t>CT2</t>
  </si>
  <si>
    <t>CT3</t>
  </si>
  <si>
    <t>PPG</t>
  </si>
  <si>
    <t>TE2</t>
  </si>
  <si>
    <t>TM2</t>
  </si>
  <si>
    <t>USB</t>
  </si>
  <si>
    <t>USQ</t>
  </si>
  <si>
    <t>UXG</t>
  </si>
  <si>
    <t xml:space="preserve">RAFAEL </t>
  </si>
  <si>
    <t>SST</t>
  </si>
  <si>
    <t>UDINEI</t>
  </si>
  <si>
    <t>OOME.C</t>
  </si>
  <si>
    <t>PROGEN</t>
  </si>
  <si>
    <t>OPERADOR MAQUINA 1</t>
  </si>
  <si>
    <t>Coleta de Óleo</t>
  </si>
  <si>
    <t>Produto Químico</t>
  </si>
  <si>
    <t>00012345/25H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</si>
</sst>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"/>
    <numFmt numFmtId="166" formatCode="######"/>
  </numFmts>
  <fonts count="94" x14ac:knownFonts="1">
    <font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11"/>
      <color theme="1"/>
      <name val="Verdana"/>
      <family val="2"/>
    </font>
    <font>
      <sz val="10.5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rgb="FF000000"/>
      <name val="Verdana"/>
      <family val="2"/>
    </font>
    <font>
      <b/>
      <sz val="10.5"/>
      <color rgb="FF000000"/>
      <name val="Verdana"/>
      <family val="2"/>
    </font>
    <font>
      <sz val="10.5"/>
      <color rgb="FF00000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FF0000"/>
      <name val="Verdana"/>
      <family val="2"/>
    </font>
    <font>
      <b/>
      <sz val="9"/>
      <color rgb="FFFF0000"/>
      <name val="Verdana"/>
      <family val="2"/>
    </font>
    <font>
      <sz val="10.5"/>
      <color rgb="FFFF0000"/>
      <name val="Verdana"/>
      <family val="2"/>
    </font>
    <font>
      <b/>
      <sz val="10.5"/>
      <color theme="1"/>
      <name val="Verdana"/>
      <family val="2"/>
    </font>
    <font>
      <sz val="9"/>
      <color rgb="FF000000"/>
      <name val="Verdana"/>
      <family val="2"/>
    </font>
    <font>
      <b/>
      <u/>
      <sz val="9"/>
      <color theme="1"/>
      <name val="Verdana"/>
      <family val="2"/>
    </font>
    <font>
      <b/>
      <sz val="8"/>
      <color rgb="FFED7D31"/>
      <name val="Verdana"/>
      <family val="2"/>
    </font>
    <font>
      <b/>
      <sz val="8"/>
      <color rgb="FF00B050"/>
      <name val="Verdana"/>
      <family val="2"/>
    </font>
    <font>
      <b/>
      <sz val="8"/>
      <color rgb="FF0000FF"/>
      <name val="Verdana"/>
      <family val="2"/>
    </font>
    <font>
      <b/>
      <sz val="8"/>
      <color rgb="FFEE0000"/>
      <name val="Verdana"/>
      <family val="2"/>
    </font>
    <font>
      <b/>
      <sz val="9"/>
      <color rgb="FF0000FF"/>
      <name val="Verdana"/>
      <family val="2"/>
    </font>
    <font>
      <sz val="7.5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8"/>
      <color theme="1"/>
      <name val="Verdana"/>
      <family val="2"/>
    </font>
    <font>
      <sz val="12"/>
      <color rgb="FF0000FF"/>
      <name val="Verdana"/>
      <family val="2"/>
    </font>
    <font>
      <b/>
      <sz val="11"/>
      <color rgb="FFFFFFFF"/>
      <name val="Verdana"/>
      <family val="2"/>
    </font>
    <font>
      <b/>
      <sz val="18"/>
      <color theme="1"/>
      <name val="Verdana"/>
      <family val="2"/>
    </font>
    <font>
      <b/>
      <sz val="1"/>
      <color theme="1"/>
      <name val="Verdana"/>
      <family val="2"/>
    </font>
    <font>
      <sz val="16"/>
      <color theme="1"/>
      <name val="Verdana"/>
      <family val="2"/>
    </font>
    <font>
      <b/>
      <sz val="8.5"/>
      <color rgb="FF000000"/>
      <name val="Verdana"/>
      <family val="2"/>
    </font>
    <font>
      <sz val="8.5"/>
      <color rgb="FF000000"/>
      <name val="Verdana"/>
      <family val="2"/>
    </font>
    <font>
      <sz val="5"/>
      <color rgb="FF000000"/>
      <name val="Verdana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</font>
    <font>
      <b/>
      <sz val="10"/>
      <color rgb="FF0000FF"/>
      <name val="Verdana"/>
      <family val="2"/>
    </font>
    <font>
      <b/>
      <sz val="9"/>
      <color theme="0"/>
      <name val="Verdana"/>
      <family val="2"/>
    </font>
    <font>
      <b/>
      <sz val="8"/>
      <color theme="0"/>
      <name val="Verdana"/>
      <family val="2"/>
    </font>
    <font>
      <u/>
      <sz val="9"/>
      <color theme="1"/>
      <name val="Verdana"/>
      <family val="2"/>
    </font>
    <font>
      <b/>
      <sz val="12"/>
      <color theme="0"/>
      <name val="Calibri"/>
      <family val="2"/>
    </font>
    <font>
      <sz val="10"/>
      <color rgb="FF000000"/>
      <name val="Verdana"/>
      <family val="2"/>
    </font>
    <font>
      <sz val="6.5"/>
      <color rgb="FF000000"/>
      <name val="Verdana"/>
      <family val="2"/>
    </font>
    <font>
      <b/>
      <u/>
      <sz val="7.5"/>
      <color rgb="FF009900"/>
      <name val="Verdana"/>
      <family val="2"/>
    </font>
    <font>
      <b/>
      <sz val="7"/>
      <color rgb="FF000000"/>
      <name val="Verdana"/>
      <family val="2"/>
    </font>
    <font>
      <b/>
      <sz val="16"/>
      <color theme="1"/>
      <name val="Verdana"/>
      <family val="2"/>
    </font>
    <font>
      <b/>
      <sz val="10.5"/>
      <color rgb="FFFFFFFF"/>
      <name val="Verdana"/>
      <family val="2"/>
    </font>
    <font>
      <sz val="5"/>
      <color theme="0" tint="-0.499984740745262"/>
      <name val="Verdana"/>
      <family val="2"/>
    </font>
    <font>
      <sz val="8.5"/>
      <name val="Verdana"/>
      <family val="2"/>
    </font>
    <font>
      <sz val="11"/>
      <name val="Verdana"/>
      <family val="2"/>
    </font>
    <font>
      <sz val="11"/>
      <color rgb="FF0000FF"/>
      <name val="Verdana"/>
      <family val="2"/>
    </font>
    <font>
      <b/>
      <sz val="11"/>
      <color theme="1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sz val="10"/>
      <name val="Verdana"/>
      <family val="2"/>
    </font>
    <font>
      <sz val="9"/>
      <name val="Verdana"/>
      <family val="2"/>
    </font>
    <font>
      <sz val="7"/>
      <color rgb="FFFF0000"/>
      <name val="Verdana"/>
      <family val="2"/>
    </font>
    <font>
      <b/>
      <sz val="10"/>
      <color theme="0"/>
      <name val="Verdana"/>
      <family val="2"/>
    </font>
    <font>
      <b/>
      <sz val="12"/>
      <color rgb="FFFF0000"/>
      <name val="Verdana"/>
      <family val="2"/>
    </font>
    <font>
      <sz val="17"/>
      <color theme="1"/>
      <name val="Aptos Narrow"/>
      <family val="2"/>
      <scheme val="minor"/>
    </font>
    <font>
      <b/>
      <sz val="17"/>
      <color rgb="FF000000"/>
      <name val="Arial"/>
      <family val="2"/>
    </font>
    <font>
      <sz val="17"/>
      <color rgb="FF000000"/>
      <name val="Arial"/>
      <family val="2"/>
    </font>
    <font>
      <i/>
      <sz val="17"/>
      <color rgb="FF000000"/>
      <name val="Arial"/>
      <family val="2"/>
    </font>
    <font>
      <b/>
      <sz val="17"/>
      <color theme="1"/>
      <name val="Arial"/>
      <family val="2"/>
    </font>
    <font>
      <sz val="17"/>
      <color theme="1"/>
      <name val="Arial"/>
      <family val="2"/>
    </font>
    <font>
      <b/>
      <sz val="17"/>
      <color rgb="FFFFFFFF"/>
      <name val="Arial"/>
      <family val="2"/>
    </font>
    <font>
      <b/>
      <sz val="48"/>
      <color rgb="FF000000"/>
      <name val="Arial"/>
      <family val="2"/>
    </font>
    <font>
      <b/>
      <sz val="10"/>
      <name val="Verdana"/>
      <family val="2"/>
    </font>
    <font>
      <sz val="8"/>
      <name val="Aptos Narrow"/>
      <family val="2"/>
      <scheme val="minor"/>
    </font>
    <font>
      <b/>
      <sz val="20"/>
      <color theme="1"/>
      <name val="Verdana"/>
      <family val="2"/>
    </font>
    <font>
      <b/>
      <sz val="10.5"/>
      <color theme="0"/>
      <name val="Verdana"/>
      <family val="2"/>
    </font>
    <font>
      <b/>
      <sz val="11"/>
      <color theme="0"/>
      <name val="Verdana"/>
      <family val="2"/>
    </font>
    <font>
      <sz val="14"/>
      <color rgb="FFFFC000"/>
      <name val="Aptos Narrow"/>
      <family val="2"/>
      <scheme val="minor"/>
    </font>
    <font>
      <sz val="14"/>
      <color rgb="FFFFFF00"/>
      <name val="Aptos Narrow"/>
      <family val="2"/>
      <scheme val="minor"/>
    </font>
    <font>
      <sz val="14"/>
      <color rgb="FF3C7D22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FF0000"/>
      <name val="Aptos Narrow"/>
      <family val="2"/>
    </font>
    <font>
      <i/>
      <sz val="10"/>
      <name val="Verdana"/>
      <family val="2"/>
    </font>
    <font>
      <b/>
      <sz val="7"/>
      <color theme="0"/>
      <name val="Verdana"/>
      <family val="2"/>
    </font>
  </fonts>
  <fills count="28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A0B4D2"/>
        <bgColor indexed="64"/>
      </patternFill>
    </fill>
    <fill>
      <patternFill patternType="solid">
        <fgColor rgb="FFF9B50B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B4E1"/>
        <bgColor indexed="64"/>
      </patternFill>
    </fill>
    <fill>
      <patternFill patternType="solid">
        <fgColor rgb="FFFFE6C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BD169"/>
        <bgColor indexed="64"/>
      </patternFill>
    </fill>
    <fill>
      <patternFill patternType="solid">
        <fgColor rgb="FFE5E5E5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3C7D22"/>
        <bgColor indexed="64"/>
      </patternFill>
    </fill>
  </fills>
  <borders count="1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theme="0"/>
      </left>
      <right style="thick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rgb="FFFFFFFF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ck">
        <color rgb="FFFFFFFF"/>
      </left>
      <right style="thick">
        <color rgb="FFFFFFFF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n">
        <color auto="1"/>
      </top>
      <bottom style="thin">
        <color auto="1"/>
      </bottom>
      <diagonal/>
    </border>
    <border>
      <left/>
      <right style="thick">
        <color rgb="FFFFFF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/>
      <right style="thick">
        <color rgb="FFFFFFFF"/>
      </right>
      <top/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 style="thin">
        <color auto="1"/>
      </bottom>
      <diagonal/>
    </border>
    <border>
      <left style="thick">
        <color rgb="FFFFFFFF"/>
      </left>
      <right style="thick">
        <color rgb="FFFFFFFF"/>
      </right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1" tint="0.499984740745262"/>
      </left>
      <right style="thick">
        <color theme="0"/>
      </right>
      <top style="double">
        <color theme="0"/>
      </top>
      <bottom/>
      <diagonal/>
    </border>
    <border>
      <left style="thick">
        <color theme="0"/>
      </left>
      <right style="thick">
        <color theme="0"/>
      </right>
      <top style="double">
        <color theme="0"/>
      </top>
      <bottom style="thick">
        <color theme="0"/>
      </bottom>
      <diagonal/>
    </border>
    <border>
      <left style="thick">
        <color theme="0"/>
      </left>
      <right style="double">
        <color theme="0"/>
      </right>
      <top style="double">
        <color theme="0"/>
      </top>
      <bottom style="thick">
        <color theme="0"/>
      </bottom>
      <diagonal/>
    </border>
    <border>
      <left style="double">
        <color theme="1" tint="0.499984740745262"/>
      </left>
      <right style="thick">
        <color theme="0"/>
      </right>
      <top/>
      <bottom/>
      <diagonal/>
    </border>
    <border>
      <left style="thick">
        <color theme="0"/>
      </left>
      <right style="double">
        <color theme="0"/>
      </right>
      <top style="thick">
        <color theme="0"/>
      </top>
      <bottom style="thick">
        <color theme="0"/>
      </bottom>
      <diagonal/>
    </border>
    <border>
      <left style="double">
        <color theme="1" tint="0.499984740745262"/>
      </left>
      <right style="thick">
        <color theme="0"/>
      </right>
      <top/>
      <bottom style="double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double">
        <color theme="0"/>
      </bottom>
      <diagonal/>
    </border>
    <border>
      <left style="thick">
        <color theme="0"/>
      </left>
      <right style="double">
        <color theme="0"/>
      </right>
      <top style="thick">
        <color theme="0"/>
      </top>
      <bottom style="double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thin">
        <color rgb="FFA0B4D2"/>
      </left>
      <right style="thin">
        <color rgb="FFA0B4D2"/>
      </right>
      <top style="thin">
        <color rgb="FFA0B4D2"/>
      </top>
      <bottom/>
      <diagonal/>
    </border>
    <border>
      <left style="thin">
        <color rgb="FFA0B4D2"/>
      </left>
      <right style="thin">
        <color rgb="FFA0B4D2"/>
      </right>
      <top style="thin">
        <color rgb="FFA0B4D2"/>
      </top>
      <bottom style="thin">
        <color rgb="FFA0B4D2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1"/>
      </left>
      <right style="thin">
        <color theme="0"/>
      </right>
      <top style="thick">
        <color theme="0"/>
      </top>
      <bottom style="double">
        <color theme="1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ck">
        <color theme="0"/>
      </top>
      <bottom style="thin">
        <color auto="1"/>
      </bottom>
      <diagonal/>
    </border>
    <border>
      <left/>
      <right/>
      <top style="thick">
        <color theme="0"/>
      </top>
      <bottom style="thin">
        <color auto="1"/>
      </bottom>
      <diagonal/>
    </border>
    <border>
      <left/>
      <right style="thick">
        <color theme="0"/>
      </right>
      <top style="thick">
        <color theme="0"/>
      </top>
      <bottom style="thin">
        <color auto="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/>
      </top>
      <bottom style="thin">
        <color theme="0" tint="-0.499984740745262"/>
      </bottom>
      <diagonal/>
    </border>
    <border>
      <left/>
      <right/>
      <top style="thick">
        <color theme="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/>
      </top>
      <bottom style="thin">
        <color theme="0" tint="-0.499984740745262"/>
      </bottom>
      <diagonal/>
    </border>
    <border>
      <left style="double">
        <color theme="1"/>
      </left>
      <right style="thin">
        <color theme="0"/>
      </right>
      <top style="double">
        <color theme="1"/>
      </top>
      <bottom/>
      <diagonal/>
    </border>
    <border>
      <left style="double">
        <color theme="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double">
        <color theme="1"/>
      </top>
      <bottom/>
      <diagonal/>
    </border>
    <border>
      <left/>
      <right style="thin">
        <color theme="0"/>
      </right>
      <top style="double">
        <color theme="1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thin">
        <color theme="0"/>
      </left>
      <right/>
      <top/>
      <bottom style="hair">
        <color theme="0" tint="-0.34998626667073579"/>
      </bottom>
      <diagonal/>
    </border>
    <border>
      <left/>
      <right style="thin">
        <color theme="0"/>
      </right>
      <top/>
      <bottom style="hair">
        <color theme="0" tint="-0.34998626667073579"/>
      </bottom>
      <diagonal/>
    </border>
    <border>
      <left style="double">
        <color auto="1"/>
      </left>
      <right/>
      <top/>
      <bottom style="thick">
        <color theme="0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hair">
        <color theme="0" tint="-0.34998626667073579"/>
      </top>
      <bottom style="double">
        <color theme="1"/>
      </bottom>
      <diagonal/>
    </border>
    <border>
      <left/>
      <right style="thin">
        <color theme="0"/>
      </right>
      <top style="hair">
        <color theme="0" tint="-0.34998626667073579"/>
      </top>
      <bottom style="double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double">
        <color theme="1"/>
      </bottom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0" fontId="37" fillId="0" borderId="0"/>
    <xf numFmtId="0" fontId="49" fillId="0" borderId="0"/>
    <xf numFmtId="0" fontId="41" fillId="0" borderId="0">
      <alignment wrapText="1"/>
    </xf>
  </cellStyleXfs>
  <cellXfs count="487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8" fillId="2" borderId="7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6" fillId="0" borderId="7" xfId="0" applyFont="1" applyBorder="1" applyAlignment="1">
      <alignment vertical="center" wrapText="1"/>
    </xf>
    <xf numFmtId="0" fontId="4" fillId="0" borderId="1" xfId="0" applyFont="1" applyBorder="1"/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indent="2"/>
    </xf>
    <xf numFmtId="0" fontId="5" fillId="4" borderId="0" xfId="0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6" borderId="0" xfId="0" applyFill="1"/>
    <xf numFmtId="0" fontId="39" fillId="11" borderId="40" xfId="0" applyFont="1" applyFill="1" applyBorder="1" applyAlignment="1">
      <alignment horizontal="center" vertical="center" wrapText="1"/>
    </xf>
    <xf numFmtId="0" fontId="39" fillId="13" borderId="40" xfId="0" applyFont="1" applyFill="1" applyBorder="1" applyAlignment="1">
      <alignment horizontal="center" vertical="center" wrapText="1"/>
    </xf>
    <xf numFmtId="0" fontId="40" fillId="9" borderId="0" xfId="0" applyFont="1" applyFill="1" applyAlignment="1">
      <alignment horizontal="center" vertical="center" wrapText="1"/>
    </xf>
    <xf numFmtId="0" fontId="40" fillId="15" borderId="0" xfId="0" applyFont="1" applyFill="1" applyAlignment="1">
      <alignment horizontal="center" vertical="center" wrapText="1"/>
    </xf>
    <xf numFmtId="0" fontId="40" fillId="17" borderId="0" xfId="0" applyFont="1" applyFill="1" applyAlignment="1">
      <alignment horizontal="center" vertical="center" wrapText="1"/>
    </xf>
    <xf numFmtId="0" fontId="40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24" fillId="16" borderId="40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5" fillId="8" borderId="0" xfId="0" applyFont="1" applyFill="1" applyAlignment="1">
      <alignment horizontal="center" vertical="center" wrapText="1"/>
    </xf>
    <xf numFmtId="0" fontId="41" fillId="9" borderId="0" xfId="0" applyFont="1" applyFill="1" applyAlignment="1">
      <alignment horizontal="center" vertical="center" wrapText="1"/>
    </xf>
    <xf numFmtId="0" fontId="41" fillId="7" borderId="0" xfId="0" applyFont="1" applyFill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37" fillId="19" borderId="47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/>
    </xf>
    <xf numFmtId="0" fontId="37" fillId="19" borderId="49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center" vertical="center"/>
    </xf>
    <xf numFmtId="0" fontId="37" fillId="19" borderId="52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/>
    </xf>
    <xf numFmtId="0" fontId="44" fillId="0" borderId="0" xfId="0" applyFont="1"/>
    <xf numFmtId="0" fontId="46" fillId="0" borderId="43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40" xfId="0" applyFont="1" applyBorder="1" applyAlignment="1">
      <alignment horizontal="center" vertical="center"/>
    </xf>
    <xf numFmtId="0" fontId="49" fillId="0" borderId="40" xfId="0" applyFont="1" applyBorder="1" applyAlignment="1">
      <alignment horizontal="left" vertical="center" wrapText="1"/>
    </xf>
    <xf numFmtId="0" fontId="49" fillId="0" borderId="4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44" fillId="0" borderId="40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4" fillId="0" borderId="0" xfId="0" applyFont="1"/>
    <xf numFmtId="0" fontId="50" fillId="0" borderId="0" xfId="2" applyFont="1" applyAlignment="1">
      <alignment horizontal="center" vertical="center"/>
    </xf>
    <xf numFmtId="0" fontId="50" fillId="0" borderId="0" xfId="2" applyFont="1" applyAlignment="1">
      <alignment horizontal="left" vertical="center"/>
    </xf>
    <xf numFmtId="166" fontId="50" fillId="0" borderId="0" xfId="2" applyNumberFormat="1" applyFont="1" applyAlignment="1">
      <alignment horizontal="center" vertical="center"/>
    </xf>
    <xf numFmtId="0" fontId="50" fillId="0" borderId="0" xfId="2" applyFont="1" applyAlignment="1">
      <alignment horizontal="center" vertical="top" wrapText="1"/>
    </xf>
    <xf numFmtId="0" fontId="50" fillId="0" borderId="0" xfId="0" applyFont="1" applyAlignment="1">
      <alignment horizontal="left" vertical="center"/>
    </xf>
    <xf numFmtId="166" fontId="50" fillId="0" borderId="0" xfId="0" applyNumberFormat="1" applyFont="1" applyAlignment="1">
      <alignment horizontal="center" vertical="center"/>
    </xf>
    <xf numFmtId="0" fontId="50" fillId="0" borderId="0" xfId="2" quotePrefix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 wrapText="1"/>
    </xf>
    <xf numFmtId="0" fontId="50" fillId="0" borderId="29" xfId="2" applyFont="1" applyBorder="1" applyAlignment="1">
      <alignment horizontal="center" vertical="top" wrapText="1"/>
    </xf>
    <xf numFmtId="0" fontId="50" fillId="0" borderId="0" xfId="3" applyFont="1" applyAlignment="1">
      <alignment horizontal="left" vertical="center"/>
    </xf>
    <xf numFmtId="0" fontId="50" fillId="0" borderId="0" xfId="3" applyFont="1" applyAlignment="1">
      <alignment horizontal="center" vertical="center" wrapText="1"/>
    </xf>
    <xf numFmtId="0" fontId="50" fillId="0" borderId="0" xfId="3" applyFont="1" applyAlignment="1">
      <alignment horizontal="center" vertical="top" wrapText="1"/>
    </xf>
    <xf numFmtId="0" fontId="50" fillId="0" borderId="0" xfId="3" applyFont="1" applyAlignment="1">
      <alignment vertical="center" wrapText="1"/>
    </xf>
    <xf numFmtId="0" fontId="50" fillId="0" borderId="29" xfId="2" applyFont="1" applyBorder="1" applyAlignment="1">
      <alignment horizontal="center" vertical="center"/>
    </xf>
    <xf numFmtId="0" fontId="55" fillId="6" borderId="68" xfId="2" applyFont="1" applyFill="1" applyBorder="1" applyAlignment="1">
      <alignment horizontal="center" vertical="center" wrapText="1"/>
    </xf>
    <xf numFmtId="166" fontId="55" fillId="6" borderId="68" xfId="2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5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165" fontId="51" fillId="0" borderId="24" xfId="0" applyNumberFormat="1" applyFont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>
      <alignment horizontal="center" vertical="center" wrapText="1"/>
    </xf>
    <xf numFmtId="0" fontId="69" fillId="0" borderId="0" xfId="0" applyFont="1" applyAlignment="1" applyProtection="1">
      <alignment horizontal="center" vertical="center" wrapText="1"/>
      <protection locked="0"/>
    </xf>
    <xf numFmtId="0" fontId="69" fillId="0" borderId="16" xfId="0" applyFont="1" applyBorder="1" applyAlignment="1" applyProtection="1">
      <alignment horizontal="center" vertical="center" wrapText="1"/>
      <protection locked="0"/>
    </xf>
    <xf numFmtId="0" fontId="69" fillId="0" borderId="18" xfId="0" applyFont="1" applyBorder="1" applyAlignment="1" applyProtection="1">
      <alignment horizontal="center" vertical="center" wrapText="1"/>
      <protection locked="0"/>
    </xf>
    <xf numFmtId="0" fontId="69" fillId="0" borderId="0" xfId="1" applyFont="1" applyAlignment="1" applyProtection="1">
      <alignment horizontal="center" vertical="center" wrapText="1"/>
      <protection locked="0"/>
    </xf>
    <xf numFmtId="0" fontId="2" fillId="0" borderId="67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left" vertical="center" wrapText="1" indent="1"/>
      <protection locked="0"/>
    </xf>
    <xf numFmtId="0" fontId="10" fillId="0" borderId="67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67" xfId="0" applyFont="1" applyBorder="1" applyAlignment="1" applyProtection="1">
      <alignment horizontal="left" vertical="center" wrapText="1" indent="1"/>
      <protection locked="0"/>
    </xf>
    <xf numFmtId="0" fontId="11" fillId="0" borderId="67" xfId="0" applyFont="1" applyBorder="1" applyAlignment="1" applyProtection="1">
      <alignment horizontal="left" vertical="center"/>
      <protection locked="0"/>
    </xf>
    <xf numFmtId="0" fontId="65" fillId="0" borderId="0" xfId="0" applyFont="1" applyAlignment="1">
      <alignment horizontal="center" vertical="center" wrapText="1"/>
    </xf>
    <xf numFmtId="0" fontId="68" fillId="0" borderId="22" xfId="0" applyFont="1" applyBorder="1" applyAlignment="1">
      <alignment horizontal="center" vertical="center" wrapText="1"/>
    </xf>
    <xf numFmtId="0" fontId="68" fillId="0" borderId="12" xfId="0" applyFont="1" applyBorder="1" applyAlignment="1">
      <alignment horizontal="center" vertical="center" wrapText="1"/>
    </xf>
    <xf numFmtId="0" fontId="68" fillId="0" borderId="38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top" wrapText="1"/>
    </xf>
    <xf numFmtId="0" fontId="65" fillId="0" borderId="0" xfId="0" applyFont="1" applyAlignment="1">
      <alignment vertical="center"/>
    </xf>
    <xf numFmtId="22" fontId="4" fillId="0" borderId="0" xfId="0" applyNumberFormat="1" applyFont="1" applyAlignment="1">
      <alignment horizontal="center" vertical="center" wrapText="1"/>
    </xf>
    <xf numFmtId="0" fontId="10" fillId="24" borderId="110" xfId="0" applyFont="1" applyFill="1" applyBorder="1" applyAlignment="1">
      <alignment vertical="center"/>
    </xf>
    <xf numFmtId="0" fontId="10" fillId="24" borderId="0" xfId="0" applyFont="1" applyFill="1" applyAlignment="1">
      <alignment vertical="center"/>
    </xf>
    <xf numFmtId="0" fontId="10" fillId="24" borderId="0" xfId="0" applyFont="1" applyFill="1" applyAlignment="1">
      <alignment horizontal="left" vertical="center"/>
    </xf>
    <xf numFmtId="0" fontId="10" fillId="24" borderId="39" xfId="0" applyFont="1" applyFill="1" applyBorder="1" applyAlignment="1">
      <alignment vertical="center"/>
    </xf>
    <xf numFmtId="0" fontId="10" fillId="24" borderId="111" xfId="0" applyFont="1" applyFill="1" applyBorder="1" applyAlignment="1">
      <alignment vertical="center"/>
    </xf>
    <xf numFmtId="0" fontId="10" fillId="24" borderId="29" xfId="0" applyFont="1" applyFill="1" applyBorder="1" applyAlignment="1">
      <alignment vertical="center"/>
    </xf>
    <xf numFmtId="0" fontId="10" fillId="24" borderId="29" xfId="0" applyFont="1" applyFill="1" applyBorder="1" applyAlignment="1">
      <alignment horizontal="left" vertical="center"/>
    </xf>
    <xf numFmtId="0" fontId="10" fillId="24" borderId="41" xfId="0" applyFont="1" applyFill="1" applyBorder="1" applyAlignment="1">
      <alignment vertical="center"/>
    </xf>
    <xf numFmtId="0" fontId="2" fillId="0" borderId="7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8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74" fillId="0" borderId="0" xfId="0" applyFont="1"/>
    <xf numFmtId="0" fontId="76" fillId="12" borderId="40" xfId="0" applyFont="1" applyFill="1" applyBorder="1" applyAlignment="1">
      <alignment horizontal="center" vertical="center" wrapText="1"/>
    </xf>
    <xf numFmtId="0" fontId="76" fillId="12" borderId="40" xfId="0" applyFont="1" applyFill="1" applyBorder="1" applyAlignment="1">
      <alignment horizontal="left" vertical="center" wrapText="1" indent="4"/>
    </xf>
    <xf numFmtId="0" fontId="75" fillId="13" borderId="42" xfId="0" applyFont="1" applyFill="1" applyBorder="1" applyAlignment="1">
      <alignment horizontal="center" vertical="center" wrapText="1"/>
    </xf>
    <xf numFmtId="0" fontId="77" fillId="13" borderId="40" xfId="0" applyFont="1" applyFill="1" applyBorder="1" applyAlignment="1">
      <alignment horizontal="center" vertical="center" wrapText="1"/>
    </xf>
    <xf numFmtId="0" fontId="78" fillId="9" borderId="42" xfId="0" applyFont="1" applyFill="1" applyBorder="1" applyAlignment="1">
      <alignment vertical="center" wrapText="1"/>
    </xf>
    <xf numFmtId="0" fontId="78" fillId="14" borderId="42" xfId="0" applyFont="1" applyFill="1" applyBorder="1" applyAlignment="1">
      <alignment vertical="center" wrapText="1"/>
    </xf>
    <xf numFmtId="0" fontId="78" fillId="15" borderId="42" xfId="0" applyFont="1" applyFill="1" applyBorder="1" applyAlignment="1">
      <alignment vertical="center" wrapText="1"/>
    </xf>
    <xf numFmtId="0" fontId="75" fillId="13" borderId="43" xfId="0" applyFont="1" applyFill="1" applyBorder="1" applyAlignment="1">
      <alignment horizontal="center" vertical="center" wrapText="1"/>
    </xf>
    <xf numFmtId="0" fontId="75" fillId="9" borderId="43" xfId="0" applyFont="1" applyFill="1" applyBorder="1" applyAlignment="1">
      <alignment horizontal="center" vertical="center" wrapText="1"/>
    </xf>
    <xf numFmtId="0" fontId="75" fillId="14" borderId="43" xfId="0" applyFont="1" applyFill="1" applyBorder="1" applyAlignment="1">
      <alignment horizontal="center" vertical="center" wrapText="1"/>
    </xf>
    <xf numFmtId="0" fontId="75" fillId="15" borderId="43" xfId="0" applyFont="1" applyFill="1" applyBorder="1" applyAlignment="1">
      <alignment horizontal="center" vertical="center" wrapText="1"/>
    </xf>
    <xf numFmtId="0" fontId="79" fillId="13" borderId="44" xfId="0" applyFont="1" applyFill="1" applyBorder="1" applyAlignment="1">
      <alignment vertical="top" wrapText="1"/>
    </xf>
    <xf numFmtId="0" fontId="75" fillId="9" borderId="44" xfId="0" applyFont="1" applyFill="1" applyBorder="1" applyAlignment="1">
      <alignment horizontal="center" vertical="center" wrapText="1"/>
    </xf>
    <xf numFmtId="0" fontId="75" fillId="14" borderId="44" xfId="0" applyFont="1" applyFill="1" applyBorder="1" applyAlignment="1">
      <alignment horizontal="center" vertical="center" wrapText="1"/>
    </xf>
    <xf numFmtId="0" fontId="75" fillId="15" borderId="44" xfId="0" applyFont="1" applyFill="1" applyBorder="1" applyAlignment="1">
      <alignment horizontal="center" vertical="center" wrapText="1"/>
    </xf>
    <xf numFmtId="0" fontId="78" fillId="8" borderId="42" xfId="0" applyFont="1" applyFill="1" applyBorder="1" applyAlignment="1">
      <alignment vertical="center" wrapText="1"/>
    </xf>
    <xf numFmtId="0" fontId="80" fillId="8" borderId="43" xfId="0" applyFont="1" applyFill="1" applyBorder="1" applyAlignment="1">
      <alignment horizontal="center" vertical="center" wrapText="1"/>
    </xf>
    <xf numFmtId="0" fontId="80" fillId="8" borderId="44" xfId="0" applyFont="1" applyFill="1" applyBorder="1" applyAlignment="1">
      <alignment horizontal="center" vertical="center" wrapText="1"/>
    </xf>
    <xf numFmtId="0" fontId="79" fillId="0" borderId="0" xfId="0" applyFont="1"/>
    <xf numFmtId="0" fontId="75" fillId="11" borderId="44" xfId="0" applyFont="1" applyFill="1" applyBorder="1" applyAlignment="1">
      <alignment horizontal="center" vertical="center" wrapText="1"/>
    </xf>
    <xf numFmtId="0" fontId="69" fillId="0" borderId="0" xfId="0" quotePrefix="1" applyFont="1" applyAlignment="1" applyProtection="1">
      <alignment horizontal="center" vertical="center" wrapText="1"/>
      <protection locked="0"/>
    </xf>
    <xf numFmtId="0" fontId="69" fillId="0" borderId="16" xfId="0" quotePrefix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67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0" fontId="26" fillId="22" borderId="72" xfId="0" applyFont="1" applyFill="1" applyBorder="1" applyAlignment="1">
      <alignment horizontal="center" vertical="center" wrapText="1"/>
    </xf>
    <xf numFmtId="0" fontId="52" fillId="6" borderId="66" xfId="0" applyFont="1" applyFill="1" applyBorder="1" applyAlignment="1">
      <alignment horizontal="center" vertical="center" wrapText="1"/>
    </xf>
    <xf numFmtId="0" fontId="52" fillId="6" borderId="66" xfId="0" applyFont="1" applyFill="1" applyBorder="1" applyAlignment="1">
      <alignment horizontal="center" vertical="center"/>
    </xf>
    <xf numFmtId="0" fontId="53" fillId="6" borderId="66" xfId="0" applyFont="1" applyFill="1" applyBorder="1" applyAlignment="1">
      <alignment horizontal="center" vertical="center" wrapText="1"/>
    </xf>
    <xf numFmtId="0" fontId="53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5" borderId="116" xfId="0" applyFill="1" applyBorder="1" applyAlignment="1">
      <alignment horizontal="center"/>
    </xf>
    <xf numFmtId="0" fontId="82" fillId="0" borderId="18" xfId="0" applyFont="1" applyBorder="1" applyAlignment="1" applyProtection="1">
      <alignment horizontal="center" vertical="center" wrapText="1"/>
      <protection locked="0"/>
    </xf>
    <xf numFmtId="0" fontId="52" fillId="26" borderId="66" xfId="0" applyFont="1" applyFill="1" applyBorder="1" applyAlignment="1">
      <alignment horizontal="center" vertical="center" wrapText="1"/>
    </xf>
    <xf numFmtId="0" fontId="52" fillId="26" borderId="66" xfId="0" applyFont="1" applyFill="1" applyBorder="1" applyAlignment="1">
      <alignment horizontal="center" vertical="center"/>
    </xf>
    <xf numFmtId="0" fontId="53" fillId="26" borderId="66" xfId="0" applyFont="1" applyFill="1" applyBorder="1" applyAlignment="1">
      <alignment horizontal="center" vertical="center" wrapText="1"/>
    </xf>
    <xf numFmtId="0" fontId="53" fillId="26" borderId="0" xfId="0" applyFont="1" applyFill="1" applyAlignment="1">
      <alignment horizontal="center" vertical="center" wrapText="1"/>
    </xf>
    <xf numFmtId="0" fontId="64" fillId="0" borderId="0" xfId="0" applyFont="1" applyAlignment="1" applyProtection="1">
      <alignment horizontal="center" vertical="center"/>
      <protection hidden="1"/>
    </xf>
    <xf numFmtId="0" fontId="6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 wrapText="1"/>
      <protection hidden="1"/>
    </xf>
    <xf numFmtId="0" fontId="66" fillId="0" borderId="0" xfId="0" applyFont="1" applyAlignment="1" applyProtection="1">
      <alignment horizontal="center" vertical="center" wrapText="1"/>
      <protection hidden="1"/>
    </xf>
    <xf numFmtId="0" fontId="65" fillId="0" borderId="0" xfId="0" applyFont="1" applyAlignment="1" applyProtection="1">
      <alignment horizontal="center" vertical="top" wrapText="1"/>
      <protection hidden="1"/>
    </xf>
    <xf numFmtId="22" fontId="4" fillId="0" borderId="0" xfId="0" applyNumberFormat="1" applyFont="1" applyAlignment="1" applyProtection="1">
      <alignment horizontal="center" vertical="center" wrapText="1"/>
      <protection hidden="1"/>
    </xf>
    <xf numFmtId="0" fontId="68" fillId="0" borderId="22" xfId="0" applyFont="1" applyBorder="1" applyAlignment="1" applyProtection="1">
      <alignment horizontal="center" vertical="center" wrapText="1"/>
      <protection hidden="1"/>
    </xf>
    <xf numFmtId="0" fontId="68" fillId="0" borderId="12" xfId="0" applyFont="1" applyBorder="1" applyAlignment="1" applyProtection="1">
      <alignment horizontal="center" vertical="center" wrapText="1"/>
      <protection hidden="1"/>
    </xf>
    <xf numFmtId="0" fontId="68" fillId="0" borderId="38" xfId="0" applyFont="1" applyBorder="1" applyAlignment="1" applyProtection="1">
      <alignment horizontal="center" vertical="center" wrapText="1"/>
      <protection hidden="1"/>
    </xf>
    <xf numFmtId="0" fontId="67" fillId="0" borderId="0" xfId="0" applyFont="1" applyAlignment="1" applyProtection="1">
      <alignment horizontal="center" vertical="center" wrapText="1"/>
      <protection hidden="1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0" xfId="0" applyFont="1" applyAlignment="1" applyProtection="1">
      <alignment horizontal="center" vertical="center" wrapText="1"/>
      <protection hidden="1"/>
    </xf>
    <xf numFmtId="0" fontId="64" fillId="0" borderId="107" xfId="0" applyFont="1" applyBorder="1" applyAlignment="1" applyProtection="1">
      <alignment horizontal="center" vertical="center"/>
      <protection hidden="1"/>
    </xf>
    <xf numFmtId="0" fontId="64" fillId="0" borderId="107" xfId="0" applyFont="1" applyBorder="1" applyAlignment="1" applyProtection="1">
      <alignment horizontal="center" vertical="center" wrapText="1"/>
      <protection hidden="1"/>
    </xf>
    <xf numFmtId="0" fontId="69" fillId="0" borderId="0" xfId="0" applyFont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40" fillId="27" borderId="0" xfId="0" applyFont="1" applyFill="1" applyAlignment="1">
      <alignment horizontal="center" vertical="center" wrapText="1"/>
    </xf>
    <xf numFmtId="0" fontId="69" fillId="0" borderId="18" xfId="0" applyFont="1" applyBorder="1" applyAlignment="1" applyProtection="1">
      <alignment horizontal="center" vertical="center" wrapText="1"/>
      <protection hidden="1"/>
    </xf>
    <xf numFmtId="0" fontId="69" fillId="0" borderId="0" xfId="0" quotePrefix="1" applyFont="1" applyAlignment="1" applyProtection="1">
      <alignment horizontal="center" vertical="center" wrapText="1"/>
      <protection hidden="1"/>
    </xf>
    <xf numFmtId="0" fontId="69" fillId="0" borderId="16" xfId="0" quotePrefix="1" applyFont="1" applyBorder="1" applyAlignment="1" applyProtection="1">
      <alignment horizontal="center" vertical="center" wrapText="1"/>
      <protection hidden="1"/>
    </xf>
    <xf numFmtId="0" fontId="69" fillId="0" borderId="0" xfId="1" applyFont="1" applyAlignment="1" applyProtection="1">
      <alignment horizontal="center" vertical="center" wrapText="1"/>
      <protection hidden="1"/>
    </xf>
    <xf numFmtId="0" fontId="93" fillId="6" borderId="66" xfId="0" applyFont="1" applyFill="1" applyBorder="1" applyAlignment="1">
      <alignment horizontal="center" vertical="center" wrapText="1"/>
    </xf>
    <xf numFmtId="0" fontId="93" fillId="6" borderId="0" xfId="0" applyFont="1" applyFill="1" applyAlignment="1">
      <alignment horizontal="center" vertical="center" wrapText="1"/>
    </xf>
    <xf numFmtId="0" fontId="16" fillId="0" borderId="26" xfId="0" applyFont="1" applyBorder="1" applyAlignment="1" applyProtection="1">
      <alignment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0" fontId="16" fillId="0" borderId="81" xfId="0" applyFont="1" applyBorder="1" applyAlignment="1" applyProtection="1">
      <alignment vertical="center" wrapText="1"/>
      <protection locked="0"/>
    </xf>
    <xf numFmtId="0" fontId="16" fillId="0" borderId="2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0" fillId="0" borderId="3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80" xfId="0" applyFont="1" applyFill="1" applyBorder="1" applyAlignment="1">
      <alignment horizontal="center" vertical="center" wrapText="1"/>
    </xf>
    <xf numFmtId="0" fontId="7" fillId="2" borderId="85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86" xfId="0" applyFont="1" applyFill="1" applyBorder="1" applyAlignment="1">
      <alignment horizontal="center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87" xfId="0" applyFont="1" applyFill="1" applyBorder="1" applyAlignment="1">
      <alignment horizontal="center" vertical="center" wrapText="1"/>
    </xf>
    <xf numFmtId="0" fontId="16" fillId="0" borderId="82" xfId="0" applyFont="1" applyBorder="1" applyAlignment="1" applyProtection="1">
      <alignment vertical="center" wrapText="1"/>
      <protection locked="0"/>
    </xf>
    <xf numFmtId="0" fontId="16" fillId="0" borderId="83" xfId="0" applyFont="1" applyBorder="1" applyAlignment="1" applyProtection="1">
      <alignment vertical="center" wrapText="1"/>
      <protection locked="0"/>
    </xf>
    <xf numFmtId="0" fontId="16" fillId="0" borderId="84" xfId="0" applyFont="1" applyBorder="1" applyAlignment="1" applyProtection="1">
      <alignment vertical="center" wrapText="1"/>
      <protection locked="0"/>
    </xf>
    <xf numFmtId="0" fontId="33" fillId="0" borderId="27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16" fillId="0" borderId="82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right" vertical="center" wrapText="1" indent="1"/>
    </xf>
    <xf numFmtId="0" fontId="11" fillId="3" borderId="4" xfId="0" applyFont="1" applyFill="1" applyBorder="1" applyAlignment="1">
      <alignment horizontal="right" vertical="center" wrapText="1" inden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left" vertical="center" wrapText="1" indent="1"/>
      <protection locked="0"/>
    </xf>
    <xf numFmtId="0" fontId="10" fillId="0" borderId="76" xfId="0" applyFont="1" applyBorder="1" applyAlignment="1" applyProtection="1">
      <alignment horizontal="left" vertical="center" wrapText="1" indent="1"/>
      <protection locked="0"/>
    </xf>
    <xf numFmtId="0" fontId="59" fillId="2" borderId="1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2" fontId="3" fillId="5" borderId="30" xfId="0" applyNumberFormat="1" applyFont="1" applyFill="1" applyBorder="1" applyAlignment="1">
      <alignment horizontal="center" vertical="center" wrapText="1"/>
    </xf>
    <xf numFmtId="2" fontId="3" fillId="5" borderId="31" xfId="0" applyNumberFormat="1" applyFont="1" applyFill="1" applyBorder="1" applyAlignment="1">
      <alignment horizontal="center" vertical="center" wrapText="1"/>
    </xf>
    <xf numFmtId="2" fontId="3" fillId="5" borderId="32" xfId="0" applyNumberFormat="1" applyFont="1" applyFill="1" applyBorder="1" applyAlignment="1">
      <alignment horizontal="center" vertical="center" wrapText="1"/>
    </xf>
    <xf numFmtId="0" fontId="10" fillId="0" borderId="69" xfId="0" applyFont="1" applyBorder="1" applyAlignment="1" applyProtection="1">
      <alignment horizontal="left" vertical="center" wrapText="1"/>
      <protection locked="0"/>
    </xf>
    <xf numFmtId="0" fontId="10" fillId="0" borderId="70" xfId="0" applyFont="1" applyBorder="1" applyAlignment="1" applyProtection="1">
      <alignment horizontal="left" vertical="center" wrapText="1"/>
      <protection locked="0"/>
    </xf>
    <xf numFmtId="0" fontId="10" fillId="0" borderId="71" xfId="0" applyFont="1" applyBorder="1" applyAlignment="1" applyProtection="1">
      <alignment horizontal="left" vertical="center" wrapText="1"/>
      <protection locked="0"/>
    </xf>
    <xf numFmtId="0" fontId="10" fillId="0" borderId="96" xfId="0" applyFont="1" applyBorder="1" applyAlignment="1" applyProtection="1">
      <alignment horizontal="left" vertical="center" wrapText="1"/>
      <protection locked="0"/>
    </xf>
    <xf numFmtId="0" fontId="10" fillId="0" borderId="97" xfId="0" applyFont="1" applyBorder="1" applyAlignment="1" applyProtection="1">
      <alignment horizontal="left" vertical="center" wrapText="1"/>
      <protection locked="0"/>
    </xf>
    <xf numFmtId="0" fontId="10" fillId="0" borderId="98" xfId="0" applyFont="1" applyBorder="1" applyAlignment="1" applyProtection="1">
      <alignment horizontal="left" vertical="center" wrapText="1"/>
      <protection locked="0"/>
    </xf>
    <xf numFmtId="0" fontId="11" fillId="0" borderId="69" xfId="0" applyFont="1" applyBorder="1" applyAlignment="1" applyProtection="1">
      <alignment horizontal="left" vertical="center" wrapText="1"/>
      <protection locked="0"/>
    </xf>
    <xf numFmtId="0" fontId="11" fillId="0" borderId="70" xfId="0" applyFont="1" applyBorder="1" applyAlignment="1" applyProtection="1">
      <alignment horizontal="left" vertical="center" wrapText="1"/>
      <protection locked="0"/>
    </xf>
    <xf numFmtId="0" fontId="11" fillId="0" borderId="71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vertical="center" wrapText="1"/>
      <protection locked="0"/>
    </xf>
    <xf numFmtId="0" fontId="7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8" xfId="0" applyFont="1" applyBorder="1" applyAlignment="1" applyProtection="1">
      <alignment horizontal="left" vertical="center" wrapText="1"/>
      <protection locked="0"/>
    </xf>
    <xf numFmtId="0" fontId="10" fillId="0" borderId="89" xfId="0" applyFont="1" applyBorder="1" applyAlignment="1" applyProtection="1">
      <alignment horizontal="left" vertical="center" wrapText="1"/>
      <protection locked="0"/>
    </xf>
    <xf numFmtId="0" fontId="10" fillId="0" borderId="90" xfId="0" applyFont="1" applyBorder="1" applyAlignment="1" applyProtection="1">
      <alignment horizontal="left" vertical="center" wrapText="1"/>
      <protection locked="0"/>
    </xf>
    <xf numFmtId="0" fontId="10" fillId="0" borderId="91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92" xfId="0" applyFont="1" applyBorder="1" applyAlignment="1" applyProtection="1">
      <alignment horizontal="left" vertical="center" wrapText="1"/>
      <protection locked="0"/>
    </xf>
    <xf numFmtId="0" fontId="10" fillId="0" borderId="93" xfId="0" applyFont="1" applyBorder="1" applyAlignment="1" applyProtection="1">
      <alignment horizontal="left" vertical="center" wrapText="1"/>
      <protection locked="0"/>
    </xf>
    <xf numFmtId="0" fontId="10" fillId="0" borderId="94" xfId="0" applyFont="1" applyBorder="1" applyAlignment="1" applyProtection="1">
      <alignment horizontal="left" vertical="center" wrapText="1"/>
      <protection locked="0"/>
    </xf>
    <xf numFmtId="0" fontId="10" fillId="0" borderId="95" xfId="0" applyFont="1" applyBorder="1" applyAlignment="1" applyProtection="1">
      <alignment horizontal="left" vertical="center" wrapText="1"/>
      <protection locked="0"/>
    </xf>
    <xf numFmtId="0" fontId="34" fillId="2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 applyProtection="1">
      <alignment horizontal="left" vertical="center" wrapText="1" indent="2"/>
      <protection locked="0"/>
    </xf>
    <xf numFmtId="0" fontId="10" fillId="0" borderId="73" xfId="0" applyFont="1" applyBorder="1" applyAlignment="1" applyProtection="1">
      <alignment horizontal="left" vertical="center" wrapText="1" indent="1"/>
      <protection locked="0"/>
    </xf>
    <xf numFmtId="0" fontId="10" fillId="0" borderId="0" xfId="0" applyFont="1" applyAlignment="1" applyProtection="1">
      <alignment horizontal="left" vertical="center" wrapText="1" indent="1"/>
      <protection locked="0"/>
    </xf>
    <xf numFmtId="0" fontId="10" fillId="0" borderId="69" xfId="0" quotePrefix="1" applyFont="1" applyBorder="1" applyAlignment="1" applyProtection="1">
      <alignment horizontal="left" vertical="center" wrapText="1"/>
      <protection locked="0"/>
    </xf>
    <xf numFmtId="0" fontId="10" fillId="0" borderId="70" xfId="0" quotePrefix="1" applyFont="1" applyBorder="1" applyAlignment="1" applyProtection="1">
      <alignment horizontal="left" vertical="center" wrapText="1"/>
      <protection locked="0"/>
    </xf>
    <xf numFmtId="0" fontId="10" fillId="0" borderId="71" xfId="0" quotePrefix="1" applyFont="1" applyBorder="1" applyAlignment="1" applyProtection="1">
      <alignment horizontal="left" vertical="center" wrapText="1"/>
      <protection locked="0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1" fillId="21" borderId="69" xfId="0" applyFont="1" applyFill="1" applyBorder="1" applyAlignment="1" applyProtection="1">
      <alignment horizontal="left" vertical="center" wrapText="1"/>
      <protection locked="0"/>
    </xf>
    <xf numFmtId="0" fontId="11" fillId="21" borderId="70" xfId="0" applyFont="1" applyFill="1" applyBorder="1" applyAlignment="1" applyProtection="1">
      <alignment horizontal="left" vertical="center" wrapText="1"/>
      <protection locked="0"/>
    </xf>
    <xf numFmtId="0" fontId="11" fillId="21" borderId="71" xfId="0" applyFont="1" applyFill="1" applyBorder="1" applyAlignment="1" applyProtection="1">
      <alignment horizontal="left" vertical="center" wrapText="1"/>
      <protection locked="0"/>
    </xf>
    <xf numFmtId="0" fontId="7" fillId="2" borderId="74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10" fillId="0" borderId="69" xfId="0" applyFont="1" applyBorder="1" applyAlignment="1" applyProtection="1">
      <alignment vertical="center" wrapText="1"/>
      <protection locked="0"/>
    </xf>
    <xf numFmtId="0" fontId="10" fillId="0" borderId="70" xfId="0" applyFont="1" applyBorder="1" applyAlignment="1" applyProtection="1">
      <alignment vertical="center" wrapText="1"/>
      <protection locked="0"/>
    </xf>
    <xf numFmtId="0" fontId="10" fillId="0" borderId="71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0" fontId="10" fillId="0" borderId="69" xfId="0" applyFont="1" applyBorder="1" applyAlignment="1" applyProtection="1">
      <alignment horizontal="center" vertical="center" wrapText="1"/>
      <protection locked="0"/>
    </xf>
    <xf numFmtId="0" fontId="10" fillId="0" borderId="70" xfId="0" applyFont="1" applyBorder="1" applyAlignment="1" applyProtection="1">
      <alignment horizontal="center" vertical="center" wrapText="1"/>
      <protection locked="0"/>
    </xf>
    <xf numFmtId="0" fontId="10" fillId="0" borderId="71" xfId="0" applyFont="1" applyBorder="1" applyAlignment="1" applyProtection="1">
      <alignment horizontal="center" vertical="center" wrapText="1"/>
      <protection locked="0"/>
    </xf>
    <xf numFmtId="0" fontId="10" fillId="23" borderId="2" xfId="0" applyFont="1" applyFill="1" applyBorder="1" applyAlignment="1" applyProtection="1">
      <alignment horizontal="center" vertical="center" wrapText="1"/>
      <protection locked="0"/>
    </xf>
    <xf numFmtId="0" fontId="11" fillId="23" borderId="2" xfId="0" applyFont="1" applyFill="1" applyBorder="1" applyAlignment="1" applyProtection="1">
      <alignment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0" fontId="11" fillId="0" borderId="8" xfId="0" applyFont="1" applyBorder="1" applyAlignment="1" applyProtection="1">
      <alignment vertical="center" wrapText="1"/>
      <protection locked="0"/>
    </xf>
    <xf numFmtId="0" fontId="10" fillId="0" borderId="0" xfId="0" applyFont="1" applyAlignment="1">
      <alignment vertical="center"/>
    </xf>
    <xf numFmtId="0" fontId="34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3"/>
    </xf>
    <xf numFmtId="0" fontId="10" fillId="0" borderId="78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0" fillId="0" borderId="75" xfId="0" applyFont="1" applyBorder="1" applyAlignment="1" applyProtection="1">
      <alignment horizontal="center" vertical="center" wrapText="1"/>
      <protection locked="0"/>
    </xf>
    <xf numFmtId="0" fontId="10" fillId="0" borderId="76" xfId="0" applyFont="1" applyBorder="1" applyAlignment="1" applyProtection="1">
      <alignment horizontal="center" vertical="center" wrapText="1"/>
      <protection locked="0"/>
    </xf>
    <xf numFmtId="0" fontId="34" fillId="2" borderId="74" xfId="0" applyFont="1" applyFill="1" applyBorder="1" applyAlignment="1">
      <alignment horizontal="center" vertical="center" wrapText="1"/>
    </xf>
    <xf numFmtId="0" fontId="34" fillId="2" borderId="75" xfId="0" applyFont="1" applyFill="1" applyBorder="1" applyAlignment="1">
      <alignment horizontal="center" vertical="center" wrapText="1"/>
    </xf>
    <xf numFmtId="0" fontId="34" fillId="2" borderId="7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103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2"/>
    </xf>
    <xf numFmtId="0" fontId="18" fillId="5" borderId="11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8" xfId="0" applyFont="1" applyBorder="1"/>
    <xf numFmtId="0" fontId="10" fillId="0" borderId="2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7" fillId="2" borderId="106" xfId="0" applyFont="1" applyFill="1" applyBorder="1" applyAlignment="1" applyProtection="1">
      <alignment horizontal="center" vertical="center" wrapText="1"/>
      <protection locked="0"/>
    </xf>
    <xf numFmtId="0" fontId="7" fillId="2" borderId="78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65" fontId="22" fillId="0" borderId="24" xfId="0" applyNumberFormat="1" applyFont="1" applyBorder="1" applyAlignment="1" applyProtection="1">
      <alignment horizontal="center" vertical="center" wrapText="1"/>
      <protection locked="0"/>
    </xf>
    <xf numFmtId="0" fontId="61" fillId="6" borderId="15" xfId="0" applyFont="1" applyFill="1" applyBorder="1" applyAlignment="1">
      <alignment horizontal="center" vertical="center" wrapText="1"/>
    </xf>
    <xf numFmtId="0" fontId="61" fillId="6" borderId="23" xfId="0" applyFont="1" applyFill="1" applyBorder="1" applyAlignment="1">
      <alignment horizontal="center" vertical="center" wrapText="1"/>
    </xf>
    <xf numFmtId="0" fontId="60" fillId="0" borderId="18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21" xfId="0" applyFont="1" applyBorder="1" applyAlignment="1">
      <alignment horizontal="center" vertical="center" wrapText="1"/>
    </xf>
    <xf numFmtId="0" fontId="60" fillId="0" borderId="24" xfId="0" applyFont="1" applyBorder="1" applyAlignment="1">
      <alignment horizontal="center" vertical="center" wrapText="1"/>
    </xf>
    <xf numFmtId="164" fontId="10" fillId="0" borderId="75" xfId="0" applyNumberFormat="1" applyFont="1" applyBorder="1" applyAlignment="1" applyProtection="1">
      <alignment horizontal="center" vertical="center" wrapText="1"/>
      <protection locked="0"/>
    </xf>
    <xf numFmtId="164" fontId="10" fillId="0" borderId="79" xfId="0" applyNumberFormat="1" applyFont="1" applyBorder="1" applyAlignment="1" applyProtection="1">
      <alignment horizontal="center" vertical="center" wrapText="1"/>
      <protection locked="0"/>
    </xf>
    <xf numFmtId="164" fontId="10" fillId="0" borderId="80" xfId="0" applyNumberFormat="1" applyFont="1" applyBorder="1" applyAlignment="1" applyProtection="1">
      <alignment horizontal="center" vertical="center" wrapText="1"/>
      <protection locked="0"/>
    </xf>
    <xf numFmtId="20" fontId="10" fillId="0" borderId="74" xfId="0" applyNumberFormat="1" applyFont="1" applyBorder="1" applyAlignment="1" applyProtection="1">
      <alignment horizontal="center" vertical="center" wrapText="1"/>
      <protection locked="0"/>
    </xf>
    <xf numFmtId="20" fontId="10" fillId="0" borderId="75" xfId="0" applyNumberFormat="1" applyFont="1" applyBorder="1" applyAlignment="1" applyProtection="1">
      <alignment horizontal="center" vertical="center" wrapText="1"/>
      <protection locked="0"/>
    </xf>
    <xf numFmtId="20" fontId="10" fillId="0" borderId="76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 wrapText="1"/>
    </xf>
    <xf numFmtId="0" fontId="72" fillId="6" borderId="37" xfId="0" applyFont="1" applyFill="1" applyBorder="1" applyAlignment="1">
      <alignment horizontal="center" vertical="center"/>
    </xf>
    <xf numFmtId="0" fontId="72" fillId="6" borderId="37" xfId="0" applyFont="1" applyFill="1" applyBorder="1" applyAlignment="1">
      <alignment horizontal="center" vertical="center" wrapText="1"/>
    </xf>
    <xf numFmtId="0" fontId="72" fillId="6" borderId="22" xfId="0" applyFont="1" applyFill="1" applyBorder="1" applyAlignment="1">
      <alignment horizontal="center" vertical="center"/>
    </xf>
    <xf numFmtId="0" fontId="72" fillId="6" borderId="12" xfId="0" applyFont="1" applyFill="1" applyBorder="1" applyAlignment="1">
      <alignment horizontal="center" vertical="center"/>
    </xf>
    <xf numFmtId="0" fontId="72" fillId="6" borderId="38" xfId="0" applyFont="1" applyFill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1" fillId="0" borderId="103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06" xfId="0" applyFont="1" applyFill="1" applyBorder="1" applyAlignment="1">
      <alignment horizontal="center" vertical="center" wrapText="1"/>
    </xf>
    <xf numFmtId="0" fontId="65" fillId="0" borderId="23" xfId="0" applyFont="1" applyBorder="1" applyAlignment="1">
      <alignment horizontal="center" vertical="center" wrapText="1"/>
    </xf>
    <xf numFmtId="0" fontId="65" fillId="0" borderId="13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 wrapText="1"/>
    </xf>
    <xf numFmtId="0" fontId="65" fillId="0" borderId="19" xfId="0" applyFont="1" applyBorder="1" applyAlignment="1">
      <alignment horizontal="center" vertical="center" wrapText="1"/>
    </xf>
    <xf numFmtId="0" fontId="84" fillId="0" borderId="18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4" fillId="0" borderId="21" xfId="0" applyFont="1" applyBorder="1" applyAlignment="1">
      <alignment horizontal="center" vertical="center" wrapText="1"/>
    </xf>
    <xf numFmtId="0" fontId="84" fillId="0" borderId="24" xfId="0" applyFont="1" applyBorder="1" applyAlignment="1">
      <alignment horizontal="center" vertical="center" wrapText="1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11" fillId="3" borderId="4" xfId="0" applyFont="1" applyFill="1" applyBorder="1" applyAlignment="1" applyProtection="1">
      <alignment horizontal="center" vertical="center" wrapText="1"/>
      <protection locked="0"/>
    </xf>
    <xf numFmtId="0" fontId="11" fillId="3" borderId="5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06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03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14" fontId="22" fillId="0" borderId="24" xfId="0" applyNumberFormat="1" applyFont="1" applyBorder="1" applyAlignment="1" applyProtection="1">
      <alignment horizontal="center" vertical="center" wrapText="1"/>
      <protection locked="0"/>
    </xf>
    <xf numFmtId="0" fontId="10" fillId="0" borderId="111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108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 applyProtection="1">
      <alignment horizontal="center" vertical="center"/>
      <protection locked="0"/>
    </xf>
    <xf numFmtId="0" fontId="10" fillId="0" borderId="109" xfId="0" applyFont="1" applyBorder="1" applyAlignment="1" applyProtection="1">
      <alignment horizontal="center" vertical="center"/>
      <protection locked="0"/>
    </xf>
    <xf numFmtId="0" fontId="10" fillId="0" borderId="110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39" xfId="0" applyFont="1" applyBorder="1" applyAlignment="1" applyProtection="1">
      <alignment horizontal="center" vertical="center"/>
      <protection locked="0"/>
    </xf>
    <xf numFmtId="0" fontId="11" fillId="0" borderId="108" xfId="0" applyFont="1" applyBorder="1" applyAlignment="1">
      <alignment horizontal="left" vertical="center" indent="1"/>
    </xf>
    <xf numFmtId="0" fontId="11" fillId="0" borderId="28" xfId="0" applyFont="1" applyBorder="1" applyAlignment="1">
      <alignment horizontal="left" vertical="center" indent="1"/>
    </xf>
    <xf numFmtId="0" fontId="11" fillId="0" borderId="109" xfId="0" applyFont="1" applyBorder="1" applyAlignment="1">
      <alignment horizontal="left" vertical="center" indent="1"/>
    </xf>
    <xf numFmtId="0" fontId="4" fillId="0" borderId="11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65" fontId="73" fillId="24" borderId="0" xfId="0" applyNumberFormat="1" applyFont="1" applyFill="1" applyAlignment="1" applyProtection="1">
      <alignment horizontal="center" vertical="center"/>
      <protection locked="0"/>
    </xf>
    <xf numFmtId="165" fontId="73" fillId="24" borderId="29" xfId="0" applyNumberFormat="1" applyFont="1" applyFill="1" applyBorder="1" applyAlignment="1" applyProtection="1">
      <alignment horizontal="center" vertical="center"/>
      <protection locked="0"/>
    </xf>
    <xf numFmtId="0" fontId="73" fillId="24" borderId="0" xfId="0" applyFont="1" applyFill="1" applyAlignment="1">
      <alignment horizontal="center" vertical="center"/>
    </xf>
    <xf numFmtId="0" fontId="73" fillId="24" borderId="29" xfId="0" applyFont="1" applyFill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1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24" borderId="108" xfId="0" applyFont="1" applyFill="1" applyBorder="1" applyAlignment="1">
      <alignment horizontal="center" vertical="center"/>
    </xf>
    <xf numFmtId="0" fontId="11" fillId="24" borderId="28" xfId="0" applyFont="1" applyFill="1" applyBorder="1" applyAlignment="1">
      <alignment horizontal="center" vertical="center"/>
    </xf>
    <xf numFmtId="0" fontId="11" fillId="24" borderId="109" xfId="0" applyFont="1" applyFill="1" applyBorder="1" applyAlignment="1">
      <alignment horizontal="center" vertical="center"/>
    </xf>
    <xf numFmtId="0" fontId="26" fillId="0" borderId="29" xfId="0" applyFont="1" applyBorder="1" applyAlignment="1" applyProtection="1">
      <alignment horizontal="center" vertical="center" wrapText="1"/>
      <protection locked="0"/>
    </xf>
    <xf numFmtId="0" fontId="68" fillId="0" borderId="28" xfId="0" applyFont="1" applyBorder="1" applyAlignment="1">
      <alignment horizontal="center" vertical="top" wrapText="1"/>
    </xf>
    <xf numFmtId="0" fontId="6" fillId="18" borderId="101" xfId="0" applyFont="1" applyFill="1" applyBorder="1" applyAlignment="1">
      <alignment horizontal="center" vertical="center" wrapText="1"/>
    </xf>
    <xf numFmtId="0" fontId="6" fillId="18" borderId="60" xfId="0" applyFont="1" applyFill="1" applyBorder="1" applyAlignment="1">
      <alignment horizontal="center" vertical="center" wrapText="1"/>
    </xf>
    <xf numFmtId="0" fontId="6" fillId="18" borderId="114" xfId="0" applyFont="1" applyFill="1" applyBorder="1" applyAlignment="1">
      <alignment horizontal="center" vertical="center" wrapText="1"/>
    </xf>
    <xf numFmtId="0" fontId="6" fillId="18" borderId="62" xfId="0" applyFont="1" applyFill="1" applyBorder="1" applyAlignment="1">
      <alignment horizontal="center" vertical="center" wrapText="1"/>
    </xf>
    <xf numFmtId="0" fontId="6" fillId="18" borderId="115" xfId="0" applyFont="1" applyFill="1" applyBorder="1" applyAlignment="1">
      <alignment horizontal="center" vertical="center" wrapText="1"/>
    </xf>
    <xf numFmtId="0" fontId="6" fillId="18" borderId="65" xfId="0" applyFont="1" applyFill="1" applyBorder="1" applyAlignment="1">
      <alignment horizontal="center" vertical="center" wrapText="1"/>
    </xf>
    <xf numFmtId="0" fontId="30" fillId="6" borderId="58" xfId="0" applyFont="1" applyFill="1" applyBorder="1" applyAlignment="1">
      <alignment horizontal="center" vertical="center" wrapText="1"/>
    </xf>
    <xf numFmtId="0" fontId="30" fillId="6" borderId="59" xfId="0" applyFont="1" applyFill="1" applyBorder="1" applyAlignment="1">
      <alignment horizontal="center" vertical="center" wrapText="1"/>
    </xf>
    <xf numFmtId="0" fontId="30" fillId="6" borderId="60" xfId="0" applyFont="1" applyFill="1" applyBorder="1" applyAlignment="1">
      <alignment horizontal="center" vertical="center" wrapText="1"/>
    </xf>
    <xf numFmtId="0" fontId="26" fillId="22" borderId="99" xfId="0" applyFont="1" applyFill="1" applyBorder="1" applyAlignment="1">
      <alignment horizontal="center" vertical="center" wrapText="1"/>
    </xf>
    <xf numFmtId="0" fontId="26" fillId="22" borderId="100" xfId="0" applyFont="1" applyFill="1" applyBorder="1" applyAlignment="1">
      <alignment horizontal="center" vertical="center" wrapText="1"/>
    </xf>
    <xf numFmtId="0" fontId="51" fillId="18" borderId="101" xfId="0" applyFont="1" applyFill="1" applyBorder="1" applyAlignment="1">
      <alignment horizontal="center" vertical="center" wrapText="1"/>
    </xf>
    <xf numFmtId="0" fontId="51" fillId="18" borderId="102" xfId="0" applyFont="1" applyFill="1" applyBorder="1" applyAlignment="1">
      <alignment horizontal="center" vertical="center" wrapText="1"/>
    </xf>
    <xf numFmtId="0" fontId="51" fillId="18" borderId="104" xfId="0" applyFont="1" applyFill="1" applyBorder="1" applyAlignment="1">
      <alignment horizontal="center" vertical="center" wrapText="1"/>
    </xf>
    <xf numFmtId="0" fontId="51" fillId="18" borderId="105" xfId="0" applyFont="1" applyFill="1" applyBorder="1" applyAlignment="1">
      <alignment horizontal="center" vertical="center" wrapText="1"/>
    </xf>
    <xf numFmtId="0" fontId="31" fillId="18" borderId="61" xfId="0" applyFont="1" applyFill="1" applyBorder="1" applyAlignment="1">
      <alignment horizontal="center" vertical="center" wrapText="1"/>
    </xf>
    <xf numFmtId="0" fontId="31" fillId="18" borderId="0" xfId="0" applyFont="1" applyFill="1" applyAlignment="1">
      <alignment horizontal="center" vertical="center" wrapText="1"/>
    </xf>
    <xf numFmtId="0" fontId="31" fillId="18" borderId="62" xfId="0" applyFont="1" applyFill="1" applyBorder="1" applyAlignment="1">
      <alignment horizontal="center" vertical="center" wrapText="1"/>
    </xf>
    <xf numFmtId="0" fontId="31" fillId="18" borderId="63" xfId="0" applyFont="1" applyFill="1" applyBorder="1" applyAlignment="1">
      <alignment horizontal="center" vertical="center" wrapText="1"/>
    </xf>
    <xf numFmtId="0" fontId="31" fillId="18" borderId="64" xfId="0" applyFont="1" applyFill="1" applyBorder="1" applyAlignment="1">
      <alignment horizontal="center" vertical="center" wrapText="1"/>
    </xf>
    <xf numFmtId="0" fontId="31" fillId="18" borderId="65" xfId="0" applyFont="1" applyFill="1" applyBorder="1" applyAlignment="1">
      <alignment horizontal="center" vertical="center" wrapText="1"/>
    </xf>
    <xf numFmtId="14" fontId="51" fillId="18" borderId="112" xfId="0" applyNumberFormat="1" applyFont="1" applyFill="1" applyBorder="1" applyAlignment="1">
      <alignment horizontal="center" vertical="center" wrapText="1"/>
    </xf>
    <xf numFmtId="14" fontId="51" fillId="18" borderId="113" xfId="0" applyNumberFormat="1" applyFont="1" applyFill="1" applyBorder="1" applyAlignment="1">
      <alignment horizontal="center" vertical="center" wrapText="1"/>
    </xf>
    <xf numFmtId="0" fontId="84" fillId="0" borderId="0" xfId="0" applyFont="1" applyAlignment="1" applyProtection="1">
      <alignment horizontal="center" vertical="center" wrapText="1"/>
      <protection hidden="1"/>
    </xf>
    <xf numFmtId="0" fontId="84" fillId="0" borderId="24" xfId="0" applyFont="1" applyBorder="1" applyAlignment="1" applyProtection="1">
      <alignment horizontal="center" vertical="center" wrapText="1"/>
      <protection hidden="1"/>
    </xf>
    <xf numFmtId="0" fontId="85" fillId="26" borderId="23" xfId="0" applyFont="1" applyFill="1" applyBorder="1" applyAlignment="1" applyProtection="1">
      <alignment horizontal="center" vertical="center" wrapText="1"/>
      <protection hidden="1"/>
    </xf>
    <xf numFmtId="0" fontId="72" fillId="26" borderId="37" xfId="0" applyFont="1" applyFill="1" applyBorder="1" applyAlignment="1" applyProtection="1">
      <alignment horizontal="center" vertical="center" wrapText="1"/>
      <protection hidden="1"/>
    </xf>
    <xf numFmtId="0" fontId="69" fillId="0" borderId="0" xfId="0" applyFont="1" applyAlignment="1" applyProtection="1">
      <alignment horizontal="left" vertical="center" wrapText="1"/>
      <protection hidden="1"/>
    </xf>
    <xf numFmtId="0" fontId="72" fillId="26" borderId="37" xfId="0" applyFont="1" applyFill="1" applyBorder="1" applyAlignment="1" applyProtection="1">
      <alignment horizontal="center" vertical="center"/>
      <protection hidden="1"/>
    </xf>
    <xf numFmtId="0" fontId="72" fillId="26" borderId="22" xfId="0" applyFont="1" applyFill="1" applyBorder="1" applyAlignment="1" applyProtection="1">
      <alignment horizontal="center" vertical="center"/>
      <protection hidden="1"/>
    </xf>
    <xf numFmtId="0" fontId="72" fillId="26" borderId="12" xfId="0" applyFont="1" applyFill="1" applyBorder="1" applyAlignment="1" applyProtection="1">
      <alignment horizontal="center" vertical="center"/>
      <protection hidden="1"/>
    </xf>
    <xf numFmtId="0" fontId="72" fillId="26" borderId="38" xfId="0" applyFont="1" applyFill="1" applyBorder="1" applyAlignment="1" applyProtection="1">
      <alignment horizontal="center" vertical="center"/>
      <protection hidden="1"/>
    </xf>
    <xf numFmtId="0" fontId="86" fillId="26" borderId="101" xfId="0" applyFont="1" applyFill="1" applyBorder="1" applyAlignment="1">
      <alignment horizontal="center" vertical="center" wrapText="1"/>
    </xf>
    <xf numFmtId="0" fontId="86" fillId="26" borderId="59" xfId="0" applyFont="1" applyFill="1" applyBorder="1" applyAlignment="1">
      <alignment horizontal="center" vertical="center" wrapText="1"/>
    </xf>
    <xf numFmtId="0" fontId="31" fillId="18" borderId="114" xfId="0" applyFont="1" applyFill="1" applyBorder="1" applyAlignment="1">
      <alignment horizontal="center" vertical="center" wrapText="1"/>
    </xf>
    <xf numFmtId="0" fontId="31" fillId="18" borderId="115" xfId="0" applyFont="1" applyFill="1" applyBorder="1" applyAlignment="1">
      <alignment horizontal="center" vertical="center" wrapText="1"/>
    </xf>
    <xf numFmtId="0" fontId="26" fillId="0" borderId="0" xfId="0" applyFont="1" applyAlignment="1" applyProtection="1">
      <alignment horizontal="center" vertical="center" wrapText="1"/>
      <protection locked="0"/>
    </xf>
    <xf numFmtId="0" fontId="45" fillId="20" borderId="53" xfId="0" applyFont="1" applyFill="1" applyBorder="1" applyAlignment="1">
      <alignment horizontal="center" vertical="center" wrapText="1"/>
    </xf>
    <xf numFmtId="0" fontId="45" fillId="20" borderId="54" xfId="0" applyFont="1" applyFill="1" applyBorder="1" applyAlignment="1">
      <alignment horizontal="center" vertical="center" wrapText="1"/>
    </xf>
    <xf numFmtId="0" fontId="46" fillId="20" borderId="55" xfId="0" applyFont="1" applyFill="1" applyBorder="1" applyAlignment="1">
      <alignment horizontal="center" vertical="center"/>
    </xf>
    <xf numFmtId="0" fontId="46" fillId="20" borderId="54" xfId="0" applyFont="1" applyFill="1" applyBorder="1" applyAlignment="1">
      <alignment horizontal="center" vertical="center"/>
    </xf>
    <xf numFmtId="0" fontId="46" fillId="0" borderId="56" xfId="0" applyFont="1" applyBorder="1" applyAlignment="1">
      <alignment horizontal="center" vertical="center"/>
    </xf>
    <xf numFmtId="0" fontId="46" fillId="0" borderId="5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16" borderId="29" xfId="0" applyFont="1" applyFill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  <xf numFmtId="0" fontId="38" fillId="16" borderId="39" xfId="0" applyFont="1" applyFill="1" applyBorder="1" applyAlignment="1">
      <alignment horizontal="center" vertical="center"/>
    </xf>
    <xf numFmtId="0" fontId="38" fillId="16" borderId="29" xfId="0" applyFont="1" applyFill="1" applyBorder="1" applyAlignment="1">
      <alignment horizontal="center" vertical="center"/>
    </xf>
    <xf numFmtId="0" fontId="38" fillId="16" borderId="41" xfId="0" applyFont="1" applyFill="1" applyBorder="1" applyAlignment="1">
      <alignment horizontal="center" vertical="center"/>
    </xf>
    <xf numFmtId="0" fontId="24" fillId="16" borderId="39" xfId="0" applyFont="1" applyFill="1" applyBorder="1" applyAlignment="1">
      <alignment horizontal="center" vertical="center" textRotation="90"/>
    </xf>
    <xf numFmtId="0" fontId="24" fillId="16" borderId="42" xfId="0" applyFont="1" applyFill="1" applyBorder="1" applyAlignment="1">
      <alignment horizontal="center" vertical="center" wrapText="1"/>
    </xf>
    <xf numFmtId="0" fontId="24" fillId="16" borderId="43" xfId="0" applyFont="1" applyFill="1" applyBorder="1" applyAlignment="1">
      <alignment horizontal="center" vertical="center" wrapText="1"/>
    </xf>
    <xf numFmtId="0" fontId="24" fillId="16" borderId="44" xfId="0" applyFont="1" applyFill="1" applyBorder="1" applyAlignment="1">
      <alignment horizontal="center" vertical="center" wrapText="1"/>
    </xf>
    <xf numFmtId="0" fontId="24" fillId="18" borderId="42" xfId="0" applyFont="1" applyFill="1" applyBorder="1" applyAlignment="1">
      <alignment horizontal="center" vertical="center" wrapText="1"/>
    </xf>
    <xf numFmtId="0" fontId="24" fillId="18" borderId="43" xfId="0" applyFont="1" applyFill="1" applyBorder="1" applyAlignment="1">
      <alignment horizontal="center" vertical="center" wrapText="1"/>
    </xf>
    <xf numFmtId="0" fontId="24" fillId="18" borderId="44" xfId="0" applyFont="1" applyFill="1" applyBorder="1" applyAlignment="1">
      <alignment horizontal="center" vertical="center" wrapText="1"/>
    </xf>
    <xf numFmtId="0" fontId="42" fillId="2" borderId="45" xfId="0" applyFont="1" applyFill="1" applyBorder="1" applyAlignment="1">
      <alignment horizontal="center" vertical="center" textRotation="90"/>
    </xf>
    <xf numFmtId="0" fontId="42" fillId="2" borderId="48" xfId="0" applyFont="1" applyFill="1" applyBorder="1" applyAlignment="1">
      <alignment horizontal="center" vertical="center" textRotation="90"/>
    </xf>
    <xf numFmtId="0" fontId="42" fillId="2" borderId="50" xfId="0" applyFont="1" applyFill="1" applyBorder="1" applyAlignment="1">
      <alignment horizontal="center" vertical="center" textRotation="90"/>
    </xf>
    <xf numFmtId="0" fontId="76" fillId="13" borderId="4" xfId="0" applyFont="1" applyFill="1" applyBorder="1" applyAlignment="1">
      <alignment horizontal="center" vertical="center" wrapText="1"/>
    </xf>
    <xf numFmtId="0" fontId="77" fillId="12" borderId="111" xfId="0" applyFont="1" applyFill="1" applyBorder="1" applyAlignment="1">
      <alignment horizontal="center" vertical="center" wrapText="1"/>
    </xf>
    <xf numFmtId="0" fontId="77" fillId="12" borderId="41" xfId="0" applyFont="1" applyFill="1" applyBorder="1" applyAlignment="1">
      <alignment horizontal="center" vertical="center" wrapText="1"/>
    </xf>
    <xf numFmtId="0" fontId="75" fillId="12" borderId="44" xfId="0" applyFont="1" applyFill="1" applyBorder="1" applyAlignment="1">
      <alignment horizontal="center" vertical="center" wrapText="1"/>
    </xf>
    <xf numFmtId="0" fontId="81" fillId="13" borderId="42" xfId="0" applyFont="1" applyFill="1" applyBorder="1" applyAlignment="1">
      <alignment horizontal="center" vertical="center" wrapText="1"/>
    </xf>
    <xf numFmtId="0" fontId="75" fillId="10" borderId="40" xfId="0" applyFont="1" applyFill="1" applyBorder="1" applyAlignment="1">
      <alignment horizontal="center" vertical="center" wrapText="1"/>
    </xf>
    <xf numFmtId="0" fontId="75" fillId="10" borderId="3" xfId="0" applyFont="1" applyFill="1" applyBorder="1" applyAlignment="1">
      <alignment horizontal="center" vertical="center" wrapText="1"/>
    </xf>
    <xf numFmtId="0" fontId="75" fillId="11" borderId="108" xfId="0" applyFont="1" applyFill="1" applyBorder="1" applyAlignment="1">
      <alignment horizontal="center" vertical="center" wrapText="1"/>
    </xf>
    <xf numFmtId="0" fontId="75" fillId="11" borderId="28" xfId="0" applyFont="1" applyFill="1" applyBorder="1" applyAlignment="1">
      <alignment horizontal="center" vertical="center" wrapText="1"/>
    </xf>
    <xf numFmtId="0" fontId="75" fillId="11" borderId="109" xfId="0" applyFont="1" applyFill="1" applyBorder="1" applyAlignment="1">
      <alignment horizontal="center" vertical="center" wrapText="1"/>
    </xf>
    <xf numFmtId="0" fontId="76" fillId="11" borderId="111" xfId="0" applyFont="1" applyFill="1" applyBorder="1" applyAlignment="1">
      <alignment horizontal="center" vertical="center" wrapText="1"/>
    </xf>
    <xf numFmtId="0" fontId="76" fillId="11" borderId="29" xfId="0" applyFont="1" applyFill="1" applyBorder="1" applyAlignment="1">
      <alignment horizontal="center" vertical="center" wrapText="1"/>
    </xf>
    <xf numFmtId="0" fontId="76" fillId="11" borderId="41" xfId="0" applyFont="1" applyFill="1" applyBorder="1" applyAlignment="1">
      <alignment horizontal="center" vertical="center" wrapText="1"/>
    </xf>
    <xf numFmtId="0" fontId="75" fillId="10" borderId="42" xfId="0" applyFont="1" applyFill="1" applyBorder="1" applyAlignment="1">
      <alignment horizontal="left" vertical="center" wrapText="1" indent="7"/>
    </xf>
    <xf numFmtId="0" fontId="75" fillId="12" borderId="108" xfId="0" applyFont="1" applyFill="1" applyBorder="1" applyAlignment="1">
      <alignment horizontal="center" vertical="center" wrapText="1"/>
    </xf>
    <xf numFmtId="0" fontId="75" fillId="12" borderId="109" xfId="0" applyFont="1" applyFill="1" applyBorder="1" applyAlignment="1">
      <alignment horizontal="center" vertical="center" wrapText="1"/>
    </xf>
    <xf numFmtId="0" fontId="76" fillId="12" borderId="5" xfId="0" applyFont="1" applyFill="1" applyBorder="1" applyAlignment="1">
      <alignment horizontal="center" vertical="center" wrapText="1"/>
    </xf>
    <xf numFmtId="0" fontId="76" fillId="12" borderId="40" xfId="0" applyFont="1" applyFill="1" applyBorder="1" applyAlignment="1">
      <alignment horizontal="center" vertical="center" wrapText="1"/>
    </xf>
    <xf numFmtId="0" fontId="10" fillId="0" borderId="69" xfId="0" applyFont="1" applyFill="1" applyBorder="1" applyAlignment="1" applyProtection="1">
      <alignment horizontal="left" vertical="center" wrapText="1"/>
      <protection locked="0"/>
    </xf>
    <xf numFmtId="0" fontId="10" fillId="0" borderId="70" xfId="0" applyFont="1" applyFill="1" applyBorder="1" applyAlignment="1" applyProtection="1">
      <alignment horizontal="left" vertical="center" wrapText="1"/>
      <protection locked="0"/>
    </xf>
    <xf numFmtId="0" fontId="10" fillId="0" borderId="71" xfId="0" applyFont="1" applyFill="1" applyBorder="1" applyAlignment="1" applyProtection="1">
      <alignment horizontal="left" vertical="center" wrapText="1"/>
      <protection locked="0"/>
    </xf>
  </cellXfs>
  <cellStyles count="4">
    <cellStyle name="Normal" xfId="0" builtinId="0"/>
    <cellStyle name="Normal 3" xfId="2" xr:uid="{7CAD509D-53B5-449A-A4B2-4BE3DCC00E55}"/>
    <cellStyle name="Normal 3 2" xfId="1" xr:uid="{D04301F8-4845-41EE-896D-183828F5CCAC}"/>
    <cellStyle name="Normal 4" xfId="3" xr:uid="{A193A59F-F02B-4743-8BB2-885F3F61A157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14996795556505021"/>
      </font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 tint="-0.14996795556505021"/>
      </font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A0B4D2"/>
      </font>
      <fill>
        <patternFill>
          <bgColor rgb="FFA0B4D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rgb="FFA0B4D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rgb="FFA0B4D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rgb="FF008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color theme="0" tint="-0.14996795556505021"/>
      </font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 tint="-0.14996795556505021"/>
      </font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A0B4D2"/>
      </font>
      <fill>
        <patternFill>
          <bgColor rgb="FFA0B4D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rgb="FFA0B4D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  <fill>
        <patternFill>
          <bgColor rgb="FF008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9.5"/>
        <color theme="0"/>
        <name val="Verdana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0" hidden="0"/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00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0B4D2"/>
        </left>
        <right style="thin">
          <color rgb="FFA0B4D2"/>
        </right>
        <top style="thin">
          <color rgb="FFA0B4D2"/>
        </top>
        <bottom style="thin">
          <color rgb="FFA0B4D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9.5"/>
        <color theme="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auto="1"/>
        </right>
        <top/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auto="1"/>
        </right>
        <top/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</border>
      <protection locked="0" hidden="0"/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hidden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C000"/>
      <color rgb="FFFFFFCC"/>
      <color rgb="FFF9B50B"/>
      <color rgb="FF3C7D22"/>
      <color rgb="FF008000"/>
      <color rgb="FFFBD169"/>
      <color rgb="FF0000FF"/>
      <color rgb="FFE5E5E5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image" Target="../media/image1.jpe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14850</xdr:colOff>
      <xdr:row>1</xdr:row>
      <xdr:rowOff>49047</xdr:rowOff>
    </xdr:from>
    <xdr:to>
      <xdr:col>7</xdr:col>
      <xdr:colOff>1</xdr:colOff>
      <xdr:row>3</xdr:row>
      <xdr:rowOff>163369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CFC34-582D-E709-CD3D-ED011F28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400" y="249072"/>
          <a:ext cx="794776" cy="504847"/>
        </a:xfrm>
        <a:prstGeom prst="rect">
          <a:avLst/>
        </a:prstGeom>
      </xdr:spPr>
    </xdr:pic>
    <xdr:clientData/>
  </xdr:twoCellAnchor>
  <xdr:twoCellAnchor editAs="absolute">
    <xdr:from>
      <xdr:col>52</xdr:col>
      <xdr:colOff>23813</xdr:colOff>
      <xdr:row>2</xdr:row>
      <xdr:rowOff>15874</xdr:rowOff>
    </xdr:from>
    <xdr:to>
      <xdr:col>74</xdr:col>
      <xdr:colOff>8483</xdr:colOff>
      <xdr:row>15</xdr:row>
      <xdr:rowOff>146940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B4C0CBE-1C2D-4903-AA1A-97CDFFA2B395}"/>
            </a:ext>
          </a:extLst>
        </xdr:cNvPr>
        <xdr:cNvGrpSpPr/>
      </xdr:nvGrpSpPr>
      <xdr:grpSpPr>
        <a:xfrm>
          <a:off x="8247063" y="309562"/>
          <a:ext cx="3413670" cy="2131316"/>
          <a:chOff x="8253618" y="300567"/>
          <a:chExt cx="3443749" cy="2114104"/>
        </a:xfrm>
      </xdr:grpSpPr>
      <xdr:sp macro="" textlink="">
        <xdr:nvSpPr>
          <xdr:cNvPr id="5" name="CaixaDeTexto 5">
            <a:extLst>
              <a:ext uri="{FF2B5EF4-FFF2-40B4-BE49-F238E27FC236}">
                <a16:creationId xmlns:a16="http://schemas.microsoft.com/office/drawing/2014/main" id="{6DEE09E8-8950-5341-D6AE-8B6BAE3285C3}"/>
              </a:ext>
            </a:extLst>
          </xdr:cNvPr>
          <xdr:cNvSpPr txBox="1"/>
        </xdr:nvSpPr>
        <xdr:spPr>
          <a:xfrm>
            <a:off x="8253618" y="300567"/>
            <a:ext cx="3443749" cy="2114104"/>
          </a:xfrm>
          <a:prstGeom prst="roundRect">
            <a:avLst>
              <a:gd name="adj" fmla="val 4068"/>
            </a:avLst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/>
              <a:t>Para informar esses</a:t>
            </a:r>
            <a:r>
              <a:rPr lang="pt-BR" sz="1100" baseline="0"/>
              <a:t> outros profissionais, selecione as </a:t>
            </a:r>
            <a:r>
              <a:rPr lang="pt-BR" sz="1100" b="1" baseline="0"/>
              <a:t>linhas 9-13 </a:t>
            </a:r>
            <a:r>
              <a:rPr lang="pt-BR" sz="1100" baseline="0"/>
              <a:t>e após clicar com o botão direito, clique em </a:t>
            </a:r>
            <a:r>
              <a:rPr lang="pt-BR" sz="1100" b="1" baseline="0"/>
              <a:t>Re-e</a:t>
            </a:r>
            <a:r>
              <a:rPr lang="pt-BR" sz="1100" b="1" u="sng" baseline="0"/>
              <a:t>x</a:t>
            </a:r>
            <a:r>
              <a:rPr lang="pt-BR" sz="1100" b="1" baseline="0"/>
              <a:t>ibir</a:t>
            </a:r>
            <a:r>
              <a:rPr lang="pt-BR" sz="1100" baseline="0"/>
              <a:t>.</a:t>
            </a:r>
          </a:p>
          <a:p>
            <a:endParaRPr lang="pt-BR" sz="1100" baseline="0"/>
          </a:p>
          <a:p>
            <a:endParaRPr lang="pt-BR" sz="1100" baseline="0"/>
          </a:p>
          <a:p>
            <a:endParaRPr lang="pt-BR" sz="1100" baseline="0"/>
          </a:p>
          <a:p>
            <a:endParaRPr lang="pt-BR" sz="1100" baseline="0"/>
          </a:p>
          <a:p>
            <a:endParaRPr lang="pt-BR" sz="1100" baseline="0"/>
          </a:p>
          <a:p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 ocultar os itens em branco, após clicar com o 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botão direito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sobre as linhas correspondentes, clique em 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</a:t>
            </a:r>
            <a:r>
              <a:rPr lang="pt-BR" sz="1100" b="1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ultar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pt-BR" sz="1100"/>
          </a:p>
        </xdr:txBody>
      </xdr:sp>
      <xdr:pic>
        <xdr:nvPicPr>
          <xdr:cNvPr id="6" name="Imagem 2">
            <a:extLst>
              <a:ext uri="{FF2B5EF4-FFF2-40B4-BE49-F238E27FC236}">
                <a16:creationId xmlns:a16="http://schemas.microsoft.com/office/drawing/2014/main" id="{E1EC6A9C-9D35-4EAB-7A04-236CA62B62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9809427" y="1130832"/>
            <a:ext cx="1227875" cy="5482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m 3">
            <a:extLst>
              <a:ext uri="{FF2B5EF4-FFF2-40B4-BE49-F238E27FC236}">
                <a16:creationId xmlns:a16="http://schemas.microsoft.com/office/drawing/2014/main" id="{DA6BA09C-FE71-BB5F-A3B8-8BB0B2B5CC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391635" y="1010061"/>
            <a:ext cx="1362630" cy="622385"/>
          </a:xfrm>
          <a:prstGeom prst="rect">
            <a:avLst/>
          </a:prstGeom>
        </xdr:spPr>
      </xdr:pic>
      <xdr:sp macro="" textlink="">
        <xdr:nvSpPr>
          <xdr:cNvPr id="11" name="Chave Direita 4">
            <a:extLst>
              <a:ext uri="{FF2B5EF4-FFF2-40B4-BE49-F238E27FC236}">
                <a16:creationId xmlns:a16="http://schemas.microsoft.com/office/drawing/2014/main" id="{92B8A9EA-1FD0-3B12-EEDC-EA812067022A}"/>
              </a:ext>
            </a:extLst>
          </xdr:cNvPr>
          <xdr:cNvSpPr/>
        </xdr:nvSpPr>
        <xdr:spPr>
          <a:xfrm flipH="1">
            <a:off x="9710763" y="1144670"/>
            <a:ext cx="128458" cy="526383"/>
          </a:xfrm>
          <a:prstGeom prst="rightBrac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6">
            <a:extLst>
              <a:ext uri="{FF2B5EF4-FFF2-40B4-BE49-F238E27FC236}">
                <a16:creationId xmlns:a16="http://schemas.microsoft.com/office/drawing/2014/main" id="{7FE3F504-A000-58BB-9EF6-CE15CD8C778F}"/>
              </a:ext>
            </a:extLst>
          </xdr:cNvPr>
          <xdr:cNvSpPr/>
        </xdr:nvSpPr>
        <xdr:spPr>
          <a:xfrm>
            <a:off x="8387668" y="1201776"/>
            <a:ext cx="268385" cy="4275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 fPrintsWithSheet="0"/>
  </xdr:twoCellAnchor>
  <xdr:twoCellAnchor editAs="absolute">
    <xdr:from>
      <xdr:col>52</xdr:col>
      <xdr:colOff>23813</xdr:colOff>
      <xdr:row>16</xdr:row>
      <xdr:rowOff>29966</xdr:rowOff>
    </xdr:from>
    <xdr:to>
      <xdr:col>74</xdr:col>
      <xdr:colOff>8483</xdr:colOff>
      <xdr:row>16</xdr:row>
      <xdr:rowOff>739941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57EE2D4-8AE2-4115-91F3-ED16E5FB630D}"/>
            </a:ext>
          </a:extLst>
        </xdr:cNvPr>
        <xdr:cNvGrpSpPr/>
      </xdr:nvGrpSpPr>
      <xdr:grpSpPr>
        <a:xfrm>
          <a:off x="8247063" y="2522341"/>
          <a:ext cx="3413670" cy="709975"/>
          <a:chOff x="8245263" y="2556487"/>
          <a:chExt cx="3443749" cy="701842"/>
        </a:xfrm>
      </xdr:grpSpPr>
      <xdr:sp macro="" textlink="">
        <xdr:nvSpPr>
          <xdr:cNvPr id="14" name="CaixaDeTexto 5">
            <a:extLst>
              <a:ext uri="{FF2B5EF4-FFF2-40B4-BE49-F238E27FC236}">
                <a16:creationId xmlns:a16="http://schemas.microsoft.com/office/drawing/2014/main" id="{3AACE786-41E0-1E9B-7FC6-1C8C7B458E6E}"/>
              </a:ext>
            </a:extLst>
          </xdr:cNvPr>
          <xdr:cNvSpPr txBox="1"/>
        </xdr:nvSpPr>
        <xdr:spPr>
          <a:xfrm>
            <a:off x="8245263" y="2556487"/>
            <a:ext cx="3443749" cy="701842"/>
          </a:xfrm>
          <a:prstGeom prst="roundRect">
            <a:avLst>
              <a:gd name="adj" fmla="val 12757"/>
            </a:avLst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/>
              <a:t>Para alterar</a:t>
            </a:r>
            <a:r>
              <a:rPr lang="pt-BR" sz="1100" baseline="0"/>
              <a:t> a </a:t>
            </a:r>
            <a:r>
              <a:rPr lang="pt-BR" sz="1100" b="1" baseline="0"/>
              <a:t>periocidade</a:t>
            </a:r>
            <a:r>
              <a:rPr lang="pt-BR" sz="1100" baseline="0"/>
              <a:t> de </a:t>
            </a:r>
            <a:r>
              <a:rPr lang="pt-BR" sz="1100" u="sng" baseline="0"/>
              <a:t>Contínuo</a:t>
            </a:r>
            <a:r>
              <a:rPr lang="pt-BR" sz="1100" baseline="0"/>
              <a:t> para </a:t>
            </a:r>
            <a:r>
              <a:rPr lang="pt-BR" sz="1100" u="sng" baseline="0"/>
              <a:t>Diário</a:t>
            </a:r>
            <a:r>
              <a:rPr lang="pt-BR" sz="1100" baseline="0"/>
              <a:t>: desmarcar a primeira opção.</a:t>
            </a:r>
            <a:endParaRPr lang="pt-BR" sz="1100"/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1564659D-AEE7-4354-CECD-33123D8AE3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630987" y="3007895"/>
            <a:ext cx="2622049" cy="209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PrintsWithSheet="0"/>
  </xdr:twoCellAnchor>
  <xdr:twoCellAnchor editAs="absolute">
    <xdr:from>
      <xdr:col>52</xdr:col>
      <xdr:colOff>23813</xdr:colOff>
      <xdr:row>122</xdr:row>
      <xdr:rowOff>1426966</xdr:rowOff>
    </xdr:from>
    <xdr:to>
      <xdr:col>74</xdr:col>
      <xdr:colOff>8483</xdr:colOff>
      <xdr:row>126</xdr:row>
      <xdr:rowOff>39491</xdr:rowOff>
    </xdr:to>
    <xdr:sp macro="" textlink="">
      <xdr:nvSpPr>
        <xdr:cNvPr id="16" name="CaixaDeTexto 5">
          <a:extLst>
            <a:ext uri="{FF2B5EF4-FFF2-40B4-BE49-F238E27FC236}">
              <a16:creationId xmlns:a16="http://schemas.microsoft.com/office/drawing/2014/main" id="{D33969A4-0C1B-4C55-A66D-8EC06521CA74}"/>
            </a:ext>
          </a:extLst>
        </xdr:cNvPr>
        <xdr:cNvSpPr txBox="1"/>
      </xdr:nvSpPr>
      <xdr:spPr>
        <a:xfrm>
          <a:off x="8247063" y="31843466"/>
          <a:ext cx="3413670" cy="1112838"/>
        </a:xfrm>
        <a:prstGeom prst="roundRect">
          <a:avLst>
            <a:gd name="adj" fmla="val 7359"/>
          </a:avLst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Devem ser </a:t>
          </a:r>
          <a:r>
            <a:rPr lang="pt-BR" sz="1100" u="sng"/>
            <a:t>ocultadas</a:t>
          </a:r>
          <a:r>
            <a:rPr lang="pt-BR" sz="1100"/>
            <a:t> as </a:t>
          </a:r>
          <a:r>
            <a:rPr lang="pt-BR" sz="1100" b="1"/>
            <a:t>linhas</a:t>
          </a:r>
          <a:r>
            <a:rPr lang="pt-BR" sz="1100" b="1" baseline="0"/>
            <a:t> em branco </a:t>
          </a:r>
          <a:r>
            <a:rPr lang="pt-BR" sz="1100" baseline="0"/>
            <a:t>(não usadas) e as </a:t>
          </a:r>
          <a:r>
            <a:rPr lang="pt-BR" sz="1100" b="1" baseline="0"/>
            <a:t>linhas relacionadas à itens que não se aplicam </a:t>
          </a:r>
          <a:r>
            <a:rPr lang="pt-BR" sz="1100" baseline="0"/>
            <a:t>(itens 8, 9 e 11 em SIs sem aterramento): </a:t>
          </a:r>
          <a:br>
            <a:rPr lang="pt-BR" sz="1100" baseline="0"/>
          </a:br>
          <a:endParaRPr lang="pt-BR" sz="4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Procedimento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clicar com o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botão direito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sobre as linhas correspondentes, e depois clicar em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ultar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>
            <a:effectLst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461578</xdr:colOff>
      <xdr:row>1</xdr:row>
      <xdr:rowOff>47923</xdr:rowOff>
    </xdr:from>
    <xdr:to>
      <xdr:col>2</xdr:col>
      <xdr:colOff>704850</xdr:colOff>
      <xdr:row>3</xdr:row>
      <xdr:rowOff>225851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01D26276-C395-44BD-9923-C0CE4BF958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6828" y="238423"/>
          <a:ext cx="1090997" cy="711328"/>
        </a:xfrm>
        <a:prstGeom prst="rect">
          <a:avLst/>
        </a:prstGeom>
        <a:ln/>
      </xdr:spPr>
    </xdr:pic>
    <xdr:clientData/>
  </xdr:twoCellAnchor>
  <xdr:twoCellAnchor editAs="oneCell">
    <xdr:from>
      <xdr:col>11</xdr:col>
      <xdr:colOff>171196</xdr:colOff>
      <xdr:row>0</xdr:row>
      <xdr:rowOff>94308</xdr:rowOff>
    </xdr:from>
    <xdr:to>
      <xdr:col>18</xdr:col>
      <xdr:colOff>14164</xdr:colOff>
      <xdr:row>4</xdr:row>
      <xdr:rowOff>36633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C5C4A2C-385C-4C8A-8FD0-BBE45AC8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6581" y="94308"/>
          <a:ext cx="7194314" cy="845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14850</xdr:colOff>
      <xdr:row>1</xdr:row>
      <xdr:rowOff>49047</xdr:rowOff>
    </xdr:from>
    <xdr:to>
      <xdr:col>7</xdr:col>
      <xdr:colOff>1</xdr:colOff>
      <xdr:row>3</xdr:row>
      <xdr:rowOff>163369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A8BAA4-A8A2-4CB2-8BCF-7B57CF89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025" y="144297"/>
          <a:ext cx="794776" cy="504847"/>
        </a:xfrm>
        <a:prstGeom prst="rect">
          <a:avLst/>
        </a:prstGeom>
      </xdr:spPr>
    </xdr:pic>
    <xdr:clientData/>
  </xdr:twoCellAnchor>
  <xdr:twoCellAnchor>
    <xdr:from>
      <xdr:col>34</xdr:col>
      <xdr:colOff>70646</xdr:colOff>
      <xdr:row>64</xdr:row>
      <xdr:rowOff>109163</xdr:rowOff>
    </xdr:from>
    <xdr:to>
      <xdr:col>51</xdr:col>
      <xdr:colOff>36539</xdr:colOff>
      <xdr:row>65</xdr:row>
      <xdr:rowOff>155169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87574170-518E-EC20-ED5B-AB99A3E4681A}"/>
            </a:ext>
          </a:extLst>
        </xdr:cNvPr>
        <xdr:cNvGrpSpPr/>
      </xdr:nvGrpSpPr>
      <xdr:grpSpPr>
        <a:xfrm>
          <a:off x="5404646" y="11626476"/>
          <a:ext cx="2664643" cy="228568"/>
          <a:chOff x="13611152" y="10384532"/>
          <a:chExt cx="2714325" cy="226939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EAE4787A-493E-70B2-DA0E-F4D3EF8315A7}"/>
              </a:ext>
            </a:extLst>
          </xdr:cNvPr>
          <xdr:cNvSpPr/>
        </xdr:nvSpPr>
        <xdr:spPr>
          <a:xfrm>
            <a:off x="13611152" y="10404513"/>
            <a:ext cx="196914" cy="186977"/>
          </a:xfrm>
          <a:prstGeom prst="roundRect">
            <a:avLst/>
          </a:prstGeom>
          <a:solidFill>
            <a:srgbClr val="00B050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</a:p>
        </xdr:txBody>
      </xdr: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EE3C9781-EBD7-20F2-D9C9-D1104516D1CF}"/>
              </a:ext>
            </a:extLst>
          </xdr:cNvPr>
          <xdr:cNvSpPr/>
        </xdr:nvSpPr>
        <xdr:spPr>
          <a:xfrm>
            <a:off x="14466600" y="10409275"/>
            <a:ext cx="196914" cy="177452"/>
          </a:xfrm>
          <a:prstGeom prst="roundRect">
            <a:avLst/>
          </a:prstGeom>
          <a:solidFill>
            <a:srgbClr val="FF0000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  <a:latin typeface="Arial" panose="020B0604020202020204" pitchFamily="34" charset="0"/>
                <a:cs typeface="Arial" panose="020B0604020202020204" pitchFamily="34" charset="0"/>
              </a:rPr>
              <a:t>F</a:t>
            </a:r>
          </a:p>
        </xdr:txBody>
      </xdr:sp>
      <xdr:pic>
        <xdr:nvPicPr>
          <xdr:cNvPr id="5" name="Gráfico 73" descr="Trancar">
            <a:extLst>
              <a:ext uri="{FF2B5EF4-FFF2-40B4-BE49-F238E27FC236}">
                <a16:creationId xmlns:a16="http://schemas.microsoft.com/office/drawing/2014/main" id="{8BC71A7C-BF21-817B-D4FF-DA43D8FE11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5322047" y="10384532"/>
            <a:ext cx="238999" cy="226939"/>
          </a:xfrm>
          <a:prstGeom prst="rect">
            <a:avLst/>
          </a:prstGeom>
        </xdr:spPr>
      </xdr:pic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9704C2BE-AC22-E404-B3A4-E6920391CCE5}"/>
              </a:ext>
            </a:extLst>
          </xdr:cNvPr>
          <xdr:cNvSpPr/>
        </xdr:nvSpPr>
        <xdr:spPr>
          <a:xfrm>
            <a:off x="13843640" y="10423004"/>
            <a:ext cx="789489" cy="1499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05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Aberto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02D8A9B4-E6E7-995A-4DE1-E5F43835BA0A}"/>
              </a:ext>
            </a:extLst>
          </xdr:cNvPr>
          <xdr:cNvSpPr/>
        </xdr:nvSpPr>
        <xdr:spPr>
          <a:xfrm>
            <a:off x="14699088" y="10427766"/>
            <a:ext cx="789489" cy="1404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05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Fechado</a:t>
            </a: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921F730D-3011-4D13-674E-2E11ECAB9840}"/>
              </a:ext>
            </a:extLst>
          </xdr:cNvPr>
          <xdr:cNvSpPr/>
        </xdr:nvSpPr>
        <xdr:spPr>
          <a:xfrm>
            <a:off x="15535988" y="10427766"/>
            <a:ext cx="789489" cy="1404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05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Bloqueado</a:t>
            </a:r>
          </a:p>
        </xdr:txBody>
      </xdr:sp>
    </xdr:grpSp>
    <xdr:clientData/>
  </xdr:twoCellAnchor>
  <xdr:twoCellAnchor>
    <xdr:from>
      <xdr:col>21</xdr:col>
      <xdr:colOff>66534</xdr:colOff>
      <xdr:row>63</xdr:row>
      <xdr:rowOff>22143</xdr:rowOff>
    </xdr:from>
    <xdr:to>
      <xdr:col>24</xdr:col>
      <xdr:colOff>108237</xdr:colOff>
      <xdr:row>65</xdr:row>
      <xdr:rowOff>112075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7111487-D4C2-A473-1025-BC29B6AEA819}"/>
            </a:ext>
          </a:extLst>
        </xdr:cNvPr>
        <xdr:cNvGrpSpPr/>
      </xdr:nvGrpSpPr>
      <xdr:grpSpPr>
        <a:xfrm>
          <a:off x="3336784" y="11356893"/>
          <a:ext cx="517953" cy="455057"/>
          <a:chOff x="1881682" y="7611391"/>
          <a:chExt cx="638482" cy="553494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A032B2EF-2A3A-4E53-867E-7671FFBCC494}"/>
              </a:ext>
            </a:extLst>
          </xdr:cNvPr>
          <xdr:cNvGrpSpPr/>
        </xdr:nvGrpSpPr>
        <xdr:grpSpPr>
          <a:xfrm flipH="1">
            <a:off x="2009318" y="7611391"/>
            <a:ext cx="383210" cy="383210"/>
            <a:chOff x="-1186968" y="2559050"/>
            <a:chExt cx="383210" cy="383210"/>
          </a:xfrm>
        </xdr:grpSpPr>
        <xdr:sp macro="" textlink="">
          <xdr:nvSpPr>
            <xdr:cNvPr id="40" name="Elipse 39">
              <a:extLst>
                <a:ext uri="{FF2B5EF4-FFF2-40B4-BE49-F238E27FC236}">
                  <a16:creationId xmlns:a16="http://schemas.microsoft.com/office/drawing/2014/main" id="{DD6D25E9-ED3D-CE95-3D1D-A550A2B5500D}"/>
                </a:ext>
              </a:extLst>
            </xdr:cNvPr>
            <xdr:cNvSpPr/>
          </xdr:nvSpPr>
          <xdr:spPr>
            <a:xfrm flipV="1">
              <a:off x="-1186968" y="2559050"/>
              <a:ext cx="383210" cy="383210"/>
            </a:xfrm>
            <a:prstGeom prst="ellipse">
              <a:avLst/>
            </a:prstGeom>
            <a:solidFill>
              <a:srgbClr val="FFFA00"/>
            </a:solidFill>
            <a:ln w="9525">
              <a:solidFill>
                <a:schemeClr val="tx1">
                  <a:alpha val="67000"/>
                </a:schemeClr>
              </a:solidFill>
              <a:prstDash val="sysDash"/>
              <a:headEnd type="none"/>
              <a:tailEnd type="triangle"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defTabSz="914400"/>
              <a:endParaRPr lang="pt-BR" sz="1200" b="1">
                <a:solidFill>
                  <a:schemeClr val="tx1"/>
                </a:solidFill>
              </a:endParaRPr>
            </a:p>
          </xdr:txBody>
        </xdr:sp>
        <xdr:grpSp>
          <xdr:nvGrpSpPr>
            <xdr:cNvPr id="41" name="Agrupar 40">
              <a:extLst>
                <a:ext uri="{FF2B5EF4-FFF2-40B4-BE49-F238E27FC236}">
                  <a16:creationId xmlns:a16="http://schemas.microsoft.com/office/drawing/2014/main" id="{38B9B087-785A-1235-5776-BBECF9FF7429}"/>
                </a:ext>
              </a:extLst>
            </xdr:cNvPr>
            <xdr:cNvGrpSpPr/>
          </xdr:nvGrpSpPr>
          <xdr:grpSpPr>
            <a:xfrm>
              <a:off x="-1122430" y="2597088"/>
              <a:ext cx="252000" cy="276181"/>
              <a:chOff x="-1122430" y="2597088"/>
              <a:chExt cx="252000" cy="276181"/>
            </a:xfrm>
          </xdr:grpSpPr>
          <xdr:cxnSp macro="">
            <xdr:nvCxnSpPr>
              <xdr:cNvPr id="42" name="Conector reto 41">
                <a:extLst>
                  <a:ext uri="{FF2B5EF4-FFF2-40B4-BE49-F238E27FC236}">
                    <a16:creationId xmlns:a16="http://schemas.microsoft.com/office/drawing/2014/main" id="{6CFE0447-D680-527D-7577-FD1199C9498C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-1122430" y="2739233"/>
                <a:ext cx="252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3" name="Conector reto 42">
                <a:extLst>
                  <a:ext uri="{FF2B5EF4-FFF2-40B4-BE49-F238E27FC236}">
                    <a16:creationId xmlns:a16="http://schemas.microsoft.com/office/drawing/2014/main" id="{0EE8E065-5FB8-7D11-26BC-65845D2BC986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-1086430" y="2783912"/>
                <a:ext cx="180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4" name="Conector reto 43">
                <a:extLst>
                  <a:ext uri="{FF2B5EF4-FFF2-40B4-BE49-F238E27FC236}">
                    <a16:creationId xmlns:a16="http://schemas.microsoft.com/office/drawing/2014/main" id="{A6576C90-6074-7CEF-556A-3BFB78E0A309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-1050430" y="2828591"/>
                <a:ext cx="108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5" name="Conector reto 44">
                <a:extLst>
                  <a:ext uri="{FF2B5EF4-FFF2-40B4-BE49-F238E27FC236}">
                    <a16:creationId xmlns:a16="http://schemas.microsoft.com/office/drawing/2014/main" id="{853EBA31-91E9-0DD1-4718-2B34A7CF25F5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-1015223" y="2873269"/>
                <a:ext cx="37587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6" name="Conector reto 45">
                <a:extLst>
                  <a:ext uri="{FF2B5EF4-FFF2-40B4-BE49-F238E27FC236}">
                    <a16:creationId xmlns:a16="http://schemas.microsoft.com/office/drawing/2014/main" id="{ED732D93-D85C-BA71-7076-687945A5E1E4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-996430" y="2597088"/>
                <a:ext cx="0" cy="144526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E05D0EAE-DC0D-233B-C086-3551C38E3289}"/>
              </a:ext>
            </a:extLst>
          </xdr:cNvPr>
          <xdr:cNvSpPr/>
        </xdr:nvSpPr>
        <xdr:spPr>
          <a:xfrm rot="10800000" flipH="1" flipV="1">
            <a:off x="1881682" y="8003302"/>
            <a:ext cx="638482" cy="161583"/>
          </a:xfrm>
          <a:prstGeom prst="rect">
            <a:avLst/>
          </a:prstGeom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0" b="1">
                <a:solidFill>
                  <a:srgbClr val="FF0000"/>
                </a:solidFill>
              </a:rPr>
              <a:t>(3x-ABC) </a:t>
            </a:r>
            <a:endParaRPr lang="pt-BR" sz="1050"/>
          </a:p>
        </xdr:txBody>
      </xdr:sp>
    </xdr:grpSp>
    <xdr:clientData/>
  </xdr:twoCellAnchor>
  <xdr:twoCellAnchor>
    <xdr:from>
      <xdr:col>23</xdr:col>
      <xdr:colOff>10389</xdr:colOff>
      <xdr:row>63</xdr:row>
      <xdr:rowOff>76067</xdr:rowOff>
    </xdr:from>
    <xdr:to>
      <xdr:col>30</xdr:col>
      <xdr:colOff>115858</xdr:colOff>
      <xdr:row>65</xdr:row>
      <xdr:rowOff>96153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46972B79-CBFE-4019-AA1A-E3F830357C80}"/>
            </a:ext>
          </a:extLst>
        </xdr:cNvPr>
        <xdr:cNvSpPr/>
      </xdr:nvSpPr>
      <xdr:spPr>
        <a:xfrm>
          <a:off x="3629889" y="11142385"/>
          <a:ext cx="1226821" cy="383768"/>
        </a:xfrm>
        <a:prstGeom prst="rect">
          <a:avLst/>
        </a:prstGeom>
        <a:noFill/>
        <a:ln>
          <a:noFill/>
          <a:tailEnd type="stealth" w="med" len="lg"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000" b="1">
              <a:solidFill>
                <a:schemeClr val="bg2">
                  <a:lumMod val="50000"/>
                </a:schemeClr>
              </a:solidFill>
              <a:latin typeface="+mn-lt"/>
              <a:cs typeface="Arial" panose="020B0604020202020204" pitchFamily="34" charset="0"/>
            </a:rPr>
            <a:t>ATERRAMENTO</a:t>
          </a:r>
        </a:p>
        <a:p>
          <a:pPr algn="ctr"/>
          <a:r>
            <a:rPr lang="pt-BR" sz="1000" b="1">
              <a:solidFill>
                <a:schemeClr val="bg2">
                  <a:lumMod val="50000"/>
                </a:schemeClr>
              </a:solidFill>
              <a:latin typeface="+mn-lt"/>
              <a:cs typeface="Arial" panose="020B0604020202020204" pitchFamily="34" charset="0"/>
            </a:rPr>
            <a:t>TEMPORÁRIO</a:t>
          </a:r>
          <a:br>
            <a:rPr lang="pt-BR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pt-BR" sz="3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050" b="1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(Qnt. - Fases)</a:t>
          </a:r>
        </a:p>
      </xdr:txBody>
    </xdr:sp>
    <xdr:clientData/>
  </xdr:twoCellAnchor>
  <xdr:twoCellAnchor>
    <xdr:from>
      <xdr:col>35</xdr:col>
      <xdr:colOff>37198</xdr:colOff>
      <xdr:row>63</xdr:row>
      <xdr:rowOff>95433</xdr:rowOff>
    </xdr:from>
    <xdr:to>
      <xdr:col>42</xdr:col>
      <xdr:colOff>31846</xdr:colOff>
      <xdr:row>64</xdr:row>
      <xdr:rowOff>57592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9F3BCF2B-9FAA-92BA-3A9C-B828AC928AE1}"/>
            </a:ext>
          </a:extLst>
        </xdr:cNvPr>
        <xdr:cNvGrpSpPr/>
      </xdr:nvGrpSpPr>
      <xdr:grpSpPr>
        <a:xfrm>
          <a:off x="5529948" y="11430183"/>
          <a:ext cx="1105898" cy="144722"/>
          <a:chOff x="5462120" y="11054577"/>
          <a:chExt cx="1116000" cy="144000"/>
        </a:xfrm>
      </xdr:grpSpPr>
      <xdr:sp macro="" textlink="">
        <xdr:nvSpPr>
          <xdr:cNvPr id="48" name="Retângulo 47">
            <a:extLst>
              <a:ext uri="{FF2B5EF4-FFF2-40B4-BE49-F238E27FC236}">
                <a16:creationId xmlns:a16="http://schemas.microsoft.com/office/drawing/2014/main" id="{A86803CE-0206-4215-9943-8EEE94514294}"/>
              </a:ext>
            </a:extLst>
          </xdr:cNvPr>
          <xdr:cNvSpPr/>
        </xdr:nvSpPr>
        <xdr:spPr>
          <a:xfrm>
            <a:off x="5621844" y="11072372"/>
            <a:ext cx="796553" cy="10841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Energizado</a:t>
            </a:r>
          </a:p>
        </xdr:txBody>
      </xdr:sp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22FB96BE-B18A-4DE4-9A1B-59A78E41EB6D}"/>
              </a:ext>
            </a:extLst>
          </xdr:cNvPr>
          <xdr:cNvSpPr/>
        </xdr:nvSpPr>
        <xdr:spPr>
          <a:xfrm>
            <a:off x="5462120" y="11054577"/>
            <a:ext cx="1116000" cy="144000"/>
          </a:xfrm>
          <a:prstGeom prst="rect">
            <a:avLst/>
          </a:prstGeom>
          <a:solidFill>
            <a:srgbClr val="FF0000">
              <a:alpha val="40000"/>
            </a:srgbClr>
          </a:solidFill>
          <a:ln w="3175"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42</xdr:col>
      <xdr:colOff>122739</xdr:colOff>
      <xdr:row>63</xdr:row>
      <xdr:rowOff>95433</xdr:rowOff>
    </xdr:from>
    <xdr:to>
      <xdr:col>49</xdr:col>
      <xdr:colOff>117386</xdr:colOff>
      <xdr:row>64</xdr:row>
      <xdr:rowOff>57592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BB6AB05A-B058-C143-1563-D6F061885E98}"/>
            </a:ext>
          </a:extLst>
        </xdr:cNvPr>
        <xdr:cNvGrpSpPr/>
      </xdr:nvGrpSpPr>
      <xdr:grpSpPr>
        <a:xfrm>
          <a:off x="6726739" y="11430183"/>
          <a:ext cx="1105897" cy="144722"/>
          <a:chOff x="6768589" y="11160687"/>
          <a:chExt cx="1116000" cy="144000"/>
        </a:xfrm>
      </xdr:grpSpPr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65D75F6E-F6E8-4757-A7D7-96CEF0981148}"/>
              </a:ext>
            </a:extLst>
          </xdr:cNvPr>
          <xdr:cNvSpPr/>
        </xdr:nvSpPr>
        <xdr:spPr>
          <a:xfrm>
            <a:off x="6822390" y="11178482"/>
            <a:ext cx="1008398" cy="10841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Desenergizado</a:t>
            </a:r>
          </a:p>
        </xdr:txBody>
      </xdr:sp>
      <xdr:sp macro="" textlink="">
        <xdr:nvSpPr>
          <xdr:cNvPr id="51" name="Retângulo 50">
            <a:extLst>
              <a:ext uri="{FF2B5EF4-FFF2-40B4-BE49-F238E27FC236}">
                <a16:creationId xmlns:a16="http://schemas.microsoft.com/office/drawing/2014/main" id="{D999849F-2B14-4969-AC0D-BF664F299EDF}"/>
              </a:ext>
            </a:extLst>
          </xdr:cNvPr>
          <xdr:cNvSpPr/>
        </xdr:nvSpPr>
        <xdr:spPr>
          <a:xfrm>
            <a:off x="6768589" y="11160687"/>
            <a:ext cx="1116000" cy="144000"/>
          </a:xfrm>
          <a:prstGeom prst="rect">
            <a:avLst/>
          </a:prstGeom>
          <a:solidFill>
            <a:srgbClr val="92D050">
              <a:alpha val="40000"/>
            </a:srgbClr>
          </a:solidFill>
          <a:ln w="3175"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32</xdr:col>
      <xdr:colOff>28954</xdr:colOff>
      <xdr:row>25</xdr:row>
      <xdr:rowOff>143247</xdr:rowOff>
    </xdr:from>
    <xdr:to>
      <xdr:col>36</xdr:col>
      <xdr:colOff>43981</xdr:colOff>
      <xdr:row>30</xdr:row>
      <xdr:rowOff>98198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D58CF80-9535-2FF3-BEF0-312C78770BA4}"/>
            </a:ext>
          </a:extLst>
        </xdr:cNvPr>
        <xdr:cNvGrpSpPr/>
      </xdr:nvGrpSpPr>
      <xdr:grpSpPr>
        <a:xfrm flipH="1">
          <a:off x="5045454" y="4492997"/>
          <a:ext cx="650027" cy="867764"/>
          <a:chOff x="1881682" y="7334032"/>
          <a:chExt cx="638482" cy="830853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C4BC3027-F15F-1348-1E15-5C89BB208FE5}"/>
              </a:ext>
            </a:extLst>
          </xdr:cNvPr>
          <xdr:cNvGrpSpPr/>
        </xdr:nvGrpSpPr>
        <xdr:grpSpPr>
          <a:xfrm>
            <a:off x="2009318" y="7334032"/>
            <a:ext cx="383210" cy="660569"/>
            <a:chOff x="2009318" y="7334032"/>
            <a:chExt cx="383210" cy="660569"/>
          </a:xfrm>
        </xdr:grpSpPr>
        <xdr:grpSp>
          <xdr:nvGrpSpPr>
            <xdr:cNvPr id="26" name="Agrupar 25">
              <a:extLst>
                <a:ext uri="{FF2B5EF4-FFF2-40B4-BE49-F238E27FC236}">
                  <a16:creationId xmlns:a16="http://schemas.microsoft.com/office/drawing/2014/main" id="{96D9EB91-179A-5A67-0010-31CB0F674819}"/>
                </a:ext>
              </a:extLst>
            </xdr:cNvPr>
            <xdr:cNvGrpSpPr/>
          </xdr:nvGrpSpPr>
          <xdr:grpSpPr>
            <a:xfrm flipH="1">
              <a:off x="2009318" y="7611391"/>
              <a:ext cx="383210" cy="383210"/>
              <a:chOff x="-1186968" y="2559050"/>
              <a:chExt cx="383210" cy="383210"/>
            </a:xfrm>
          </xdr:grpSpPr>
          <xdr:sp macro="" textlink="">
            <xdr:nvSpPr>
              <xdr:cNvPr id="28" name="Elipse 27">
                <a:extLst>
                  <a:ext uri="{FF2B5EF4-FFF2-40B4-BE49-F238E27FC236}">
                    <a16:creationId xmlns:a16="http://schemas.microsoft.com/office/drawing/2014/main" id="{B2C63489-8F54-AEAA-D3E9-FFC5DAC98CA0}"/>
                  </a:ext>
                </a:extLst>
              </xdr:cNvPr>
              <xdr:cNvSpPr/>
            </xdr:nvSpPr>
            <xdr:spPr>
              <a:xfrm flipV="1">
                <a:off x="-1186968" y="2559050"/>
                <a:ext cx="383210" cy="383210"/>
              </a:xfrm>
              <a:prstGeom prst="ellipse">
                <a:avLst/>
              </a:prstGeom>
              <a:solidFill>
                <a:srgbClr val="FFFA00"/>
              </a:solidFill>
              <a:ln w="9525">
                <a:solidFill>
                  <a:schemeClr val="tx1">
                    <a:alpha val="67000"/>
                  </a:schemeClr>
                </a:solidFill>
                <a:prstDash val="sysDash"/>
                <a:headEnd type="none"/>
                <a:tailEnd type="triangle"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>
                <a:glow rad="76200">
                  <a:schemeClr val="bg1"/>
                </a:glo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defTabSz="914400"/>
                <a:endParaRPr lang="pt-BR" sz="12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29" name="Agrupar 28">
                <a:extLst>
                  <a:ext uri="{FF2B5EF4-FFF2-40B4-BE49-F238E27FC236}">
                    <a16:creationId xmlns:a16="http://schemas.microsoft.com/office/drawing/2014/main" id="{B0BE5EA9-F931-42AF-FE45-CC4E9192158C}"/>
                  </a:ext>
                </a:extLst>
              </xdr:cNvPr>
              <xdr:cNvGrpSpPr/>
            </xdr:nvGrpSpPr>
            <xdr:grpSpPr>
              <a:xfrm>
                <a:off x="-1122430" y="2597088"/>
                <a:ext cx="252000" cy="276181"/>
                <a:chOff x="-1122430" y="2597088"/>
                <a:chExt cx="252000" cy="276181"/>
              </a:xfrm>
            </xdr:grpSpPr>
            <xdr:cxnSp macro="">
              <xdr:nvCxnSpPr>
                <xdr:cNvPr id="30" name="Conector reto 29">
                  <a:extLst>
                    <a:ext uri="{FF2B5EF4-FFF2-40B4-BE49-F238E27FC236}">
                      <a16:creationId xmlns:a16="http://schemas.microsoft.com/office/drawing/2014/main" id="{BAD54D29-044F-04EA-B95A-A18DF17BCB7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122430" y="2739233"/>
                  <a:ext cx="252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1" name="Conector reto 30">
                  <a:extLst>
                    <a:ext uri="{FF2B5EF4-FFF2-40B4-BE49-F238E27FC236}">
                      <a16:creationId xmlns:a16="http://schemas.microsoft.com/office/drawing/2014/main" id="{DE9457C4-FA46-94AD-7B6D-622D6841A749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86430" y="2783912"/>
                  <a:ext cx="180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2" name="Conector reto 31">
                  <a:extLst>
                    <a:ext uri="{FF2B5EF4-FFF2-40B4-BE49-F238E27FC236}">
                      <a16:creationId xmlns:a16="http://schemas.microsoft.com/office/drawing/2014/main" id="{FAED4BFF-A788-60AE-D37F-44C8E3CDAE48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50430" y="2828591"/>
                  <a:ext cx="108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3" name="Conector reto 32">
                  <a:extLst>
                    <a:ext uri="{FF2B5EF4-FFF2-40B4-BE49-F238E27FC236}">
                      <a16:creationId xmlns:a16="http://schemas.microsoft.com/office/drawing/2014/main" id="{AD3AE36F-81D6-0BD6-0CDD-D2EDF9B6802F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15223" y="2873269"/>
                  <a:ext cx="37587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4" name="Conector reto 33">
                  <a:extLst>
                    <a:ext uri="{FF2B5EF4-FFF2-40B4-BE49-F238E27FC236}">
                      <a16:creationId xmlns:a16="http://schemas.microsoft.com/office/drawing/2014/main" id="{748D1857-82F6-4BBE-FFF6-504DEFEA1DE8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996430" y="2597088"/>
                  <a:ext cx="0" cy="144526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27" name="Conector de Seta Reta 26">
              <a:extLst>
                <a:ext uri="{FF2B5EF4-FFF2-40B4-BE49-F238E27FC236}">
                  <a16:creationId xmlns:a16="http://schemas.microsoft.com/office/drawing/2014/main" id="{6640E7BC-687A-7459-AD33-A5F4D5B595B7}"/>
                </a:ext>
              </a:extLst>
            </xdr:cNvPr>
            <xdr:cNvCxnSpPr>
              <a:cxnSpLocks/>
              <a:stCxn id="28" idx="4"/>
            </xdr:cNvCxnSpPr>
          </xdr:nvCxnSpPr>
          <xdr:spPr>
            <a:xfrm flipV="1">
              <a:off x="2200923" y="7334032"/>
              <a:ext cx="97702" cy="277359"/>
            </a:xfrm>
            <a:prstGeom prst="straightConnector1">
              <a:avLst/>
            </a:prstGeom>
            <a:solidFill>
              <a:srgbClr val="E4BC25"/>
            </a:solidFill>
            <a:ln w="9525">
              <a:solidFill>
                <a:schemeClr val="tx1">
                  <a:alpha val="67000"/>
                </a:schemeClr>
              </a:solidFill>
              <a:prstDash val="sysDash"/>
              <a:headEnd type="none"/>
              <a:tailEnd type="triangle" w="sm" len="med"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>
              <a:glow rad="38100">
                <a:schemeClr val="bg1">
                  <a:alpha val="72000"/>
                </a:schemeClr>
              </a:glo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</xdr:grp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7FF6364B-B727-1EEB-5E30-417EBDD0618E}"/>
              </a:ext>
            </a:extLst>
          </xdr:cNvPr>
          <xdr:cNvSpPr/>
        </xdr:nvSpPr>
        <xdr:spPr>
          <a:xfrm rot="10800000" flipH="1" flipV="1">
            <a:off x="1881682" y="8003302"/>
            <a:ext cx="638482" cy="161583"/>
          </a:xfrm>
          <a:prstGeom prst="rect">
            <a:avLst/>
          </a:prstGeom>
          <a:noFill/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0" b="1">
                <a:solidFill>
                  <a:srgbClr val="FF0000"/>
                </a:solidFill>
                <a:effectLst>
                  <a:glow rad="127000">
                    <a:schemeClr val="bg1"/>
                  </a:glow>
                </a:effectLst>
              </a:rPr>
              <a:t>(3x-ABC) </a:t>
            </a:r>
            <a:endParaRPr lang="pt-BR" sz="1050">
              <a:effectLst>
                <a:glow rad="127000">
                  <a:schemeClr val="bg1"/>
                </a:glow>
              </a:effectLst>
            </a:endParaRPr>
          </a:p>
        </xdr:txBody>
      </xdr:sp>
    </xdr:grpSp>
    <xdr:clientData/>
  </xdr:twoCellAnchor>
  <xdr:twoCellAnchor>
    <xdr:from>
      <xdr:col>21</xdr:col>
      <xdr:colOff>141545</xdr:colOff>
      <xdr:row>25</xdr:row>
      <xdr:rowOff>174628</xdr:rowOff>
    </xdr:from>
    <xdr:to>
      <xdr:col>25</xdr:col>
      <xdr:colOff>156573</xdr:colOff>
      <xdr:row>30</xdr:row>
      <xdr:rowOff>98204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9A9E7D4-D03D-390E-71D0-58830094D48E}"/>
            </a:ext>
          </a:extLst>
        </xdr:cNvPr>
        <xdr:cNvGrpSpPr/>
      </xdr:nvGrpSpPr>
      <xdr:grpSpPr>
        <a:xfrm>
          <a:off x="3411795" y="4524378"/>
          <a:ext cx="650028" cy="836389"/>
          <a:chOff x="1881682" y="7373050"/>
          <a:chExt cx="638482" cy="79183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9FEAEF59-9FB4-10C3-F718-9BDFC48B881E}"/>
              </a:ext>
            </a:extLst>
          </xdr:cNvPr>
          <xdr:cNvGrpSpPr/>
        </xdr:nvGrpSpPr>
        <xdr:grpSpPr>
          <a:xfrm>
            <a:off x="2009318" y="7373050"/>
            <a:ext cx="383210" cy="621551"/>
            <a:chOff x="2009318" y="7373050"/>
            <a:chExt cx="383210" cy="621551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63128B2F-C534-F757-DC84-D2CBA588B9F5}"/>
                </a:ext>
              </a:extLst>
            </xdr:cNvPr>
            <xdr:cNvGrpSpPr/>
          </xdr:nvGrpSpPr>
          <xdr:grpSpPr>
            <a:xfrm flipH="1">
              <a:off x="2009318" y="7611391"/>
              <a:ext cx="383210" cy="383210"/>
              <a:chOff x="-1186968" y="2559050"/>
              <a:chExt cx="383210" cy="383210"/>
            </a:xfrm>
          </xdr:grpSpPr>
          <xdr:sp macro="" textlink="">
            <xdr:nvSpPr>
              <xdr:cNvPr id="17" name="Elipse 16">
                <a:extLst>
                  <a:ext uri="{FF2B5EF4-FFF2-40B4-BE49-F238E27FC236}">
                    <a16:creationId xmlns:a16="http://schemas.microsoft.com/office/drawing/2014/main" id="{9D259397-0FB1-08D9-E6E0-A1F4BFD90293}"/>
                  </a:ext>
                </a:extLst>
              </xdr:cNvPr>
              <xdr:cNvSpPr/>
            </xdr:nvSpPr>
            <xdr:spPr>
              <a:xfrm flipV="1">
                <a:off x="-1186968" y="2559050"/>
                <a:ext cx="383210" cy="383210"/>
              </a:xfrm>
              <a:prstGeom prst="ellipse">
                <a:avLst/>
              </a:prstGeom>
              <a:solidFill>
                <a:srgbClr val="FFFA00"/>
              </a:solidFill>
              <a:ln w="9525">
                <a:solidFill>
                  <a:schemeClr val="tx1">
                    <a:alpha val="67000"/>
                  </a:schemeClr>
                </a:solidFill>
                <a:prstDash val="sysDash"/>
                <a:headEnd type="none"/>
                <a:tailEnd type="triangle"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>
                <a:glow rad="76200">
                  <a:schemeClr val="bg1"/>
                </a:glo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defTabSz="914400"/>
                <a:endParaRPr lang="pt-BR" sz="12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18" name="Agrupar 17">
                <a:extLst>
                  <a:ext uri="{FF2B5EF4-FFF2-40B4-BE49-F238E27FC236}">
                    <a16:creationId xmlns:a16="http://schemas.microsoft.com/office/drawing/2014/main" id="{D64057DA-F42B-5B75-BC51-9C16E1B832A8}"/>
                  </a:ext>
                </a:extLst>
              </xdr:cNvPr>
              <xdr:cNvGrpSpPr/>
            </xdr:nvGrpSpPr>
            <xdr:grpSpPr>
              <a:xfrm>
                <a:off x="-1122430" y="2597088"/>
                <a:ext cx="252000" cy="276181"/>
                <a:chOff x="-1122430" y="2597088"/>
                <a:chExt cx="252000" cy="276181"/>
              </a:xfrm>
            </xdr:grpSpPr>
            <xdr:cxnSp macro="">
              <xdr:nvCxnSpPr>
                <xdr:cNvPr id="19" name="Conector reto 18">
                  <a:extLst>
                    <a:ext uri="{FF2B5EF4-FFF2-40B4-BE49-F238E27FC236}">
                      <a16:creationId xmlns:a16="http://schemas.microsoft.com/office/drawing/2014/main" id="{37A89A01-A0D8-AEF6-984F-7E695A2619F9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122430" y="2739233"/>
                  <a:ext cx="252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Conector reto 19">
                  <a:extLst>
                    <a:ext uri="{FF2B5EF4-FFF2-40B4-BE49-F238E27FC236}">
                      <a16:creationId xmlns:a16="http://schemas.microsoft.com/office/drawing/2014/main" id="{B37E55DC-476F-9E5D-16A8-3EB4CA16FB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86430" y="2783912"/>
                  <a:ext cx="180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Conector reto 20">
                  <a:extLst>
                    <a:ext uri="{FF2B5EF4-FFF2-40B4-BE49-F238E27FC236}">
                      <a16:creationId xmlns:a16="http://schemas.microsoft.com/office/drawing/2014/main" id="{A005FA5A-6638-5EE5-1965-E2BD0030E47C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50430" y="2828591"/>
                  <a:ext cx="108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Conector reto 21">
                  <a:extLst>
                    <a:ext uri="{FF2B5EF4-FFF2-40B4-BE49-F238E27FC236}">
                      <a16:creationId xmlns:a16="http://schemas.microsoft.com/office/drawing/2014/main" id="{8EBE020D-B7C5-D4A4-98B4-53B3559A86F7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15223" y="2873269"/>
                  <a:ext cx="37587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ector reto 22">
                  <a:extLst>
                    <a:ext uri="{FF2B5EF4-FFF2-40B4-BE49-F238E27FC236}">
                      <a16:creationId xmlns:a16="http://schemas.microsoft.com/office/drawing/2014/main" id="{D867B415-815A-46BD-5941-A175850E036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-996430" y="2597088"/>
                  <a:ext cx="0" cy="144526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16" name="Conector de Seta Reta 15">
              <a:extLst>
                <a:ext uri="{FF2B5EF4-FFF2-40B4-BE49-F238E27FC236}">
                  <a16:creationId xmlns:a16="http://schemas.microsoft.com/office/drawing/2014/main" id="{40004DA2-1656-4714-172A-E30670160645}"/>
                </a:ext>
              </a:extLst>
            </xdr:cNvPr>
            <xdr:cNvCxnSpPr>
              <a:cxnSpLocks/>
              <a:stCxn id="17" idx="4"/>
            </xdr:cNvCxnSpPr>
          </xdr:nvCxnSpPr>
          <xdr:spPr>
            <a:xfrm flipH="1" flipV="1">
              <a:off x="2171461" y="7373050"/>
              <a:ext cx="29462" cy="238340"/>
            </a:xfrm>
            <a:prstGeom prst="straightConnector1">
              <a:avLst/>
            </a:prstGeom>
            <a:solidFill>
              <a:srgbClr val="E4BC25"/>
            </a:solidFill>
            <a:ln w="9525">
              <a:solidFill>
                <a:schemeClr val="tx1">
                  <a:alpha val="67000"/>
                </a:schemeClr>
              </a:solidFill>
              <a:prstDash val="sysDash"/>
              <a:headEnd type="none"/>
              <a:tailEnd type="triangle" w="sm" len="med"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>
              <a:glow rad="38100">
                <a:schemeClr val="bg1">
                  <a:alpha val="72000"/>
                </a:schemeClr>
              </a:glo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</xdr:grp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37722972-7BA6-1363-8A5C-64FF7EC53930}"/>
              </a:ext>
            </a:extLst>
          </xdr:cNvPr>
          <xdr:cNvSpPr/>
        </xdr:nvSpPr>
        <xdr:spPr>
          <a:xfrm rot="10800000" flipH="1" flipV="1">
            <a:off x="1881682" y="8003302"/>
            <a:ext cx="638482" cy="161583"/>
          </a:xfrm>
          <a:prstGeom prst="rect">
            <a:avLst/>
          </a:prstGeom>
          <a:noFill/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0" b="1">
                <a:solidFill>
                  <a:srgbClr val="FF0000"/>
                </a:solidFill>
                <a:effectLst>
                  <a:glow rad="127000">
                    <a:schemeClr val="bg1"/>
                  </a:glow>
                </a:effectLst>
              </a:rPr>
              <a:t>(3x-ABC) </a:t>
            </a:r>
            <a:endParaRPr lang="pt-BR" sz="1050">
              <a:effectLst>
                <a:glow rad="127000">
                  <a:schemeClr val="bg1"/>
                </a:glow>
              </a:effectLst>
            </a:endParaRPr>
          </a:p>
        </xdr:txBody>
      </xdr:sp>
    </xdr:grpSp>
    <xdr:clientData/>
  </xdr:twoCellAnchor>
  <xdr:twoCellAnchor>
    <xdr:from>
      <xdr:col>12</xdr:col>
      <xdr:colOff>94897</xdr:colOff>
      <xdr:row>25</xdr:row>
      <xdr:rowOff>143247</xdr:rowOff>
    </xdr:from>
    <xdr:to>
      <xdr:col>16</xdr:col>
      <xdr:colOff>109923</xdr:colOff>
      <xdr:row>30</xdr:row>
      <xdr:rowOff>98198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C5B6337-295F-3268-4F19-244C26038ECF}"/>
            </a:ext>
          </a:extLst>
        </xdr:cNvPr>
        <xdr:cNvGrpSpPr/>
      </xdr:nvGrpSpPr>
      <xdr:grpSpPr>
        <a:xfrm>
          <a:off x="1936397" y="4492997"/>
          <a:ext cx="650026" cy="867764"/>
          <a:chOff x="1881682" y="7334032"/>
          <a:chExt cx="638482" cy="830853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69C88DB4-7091-17CD-DD41-BF47F4FA044B}"/>
              </a:ext>
            </a:extLst>
          </xdr:cNvPr>
          <xdr:cNvGrpSpPr/>
        </xdr:nvGrpSpPr>
        <xdr:grpSpPr>
          <a:xfrm>
            <a:off x="2009318" y="7334032"/>
            <a:ext cx="383210" cy="660569"/>
            <a:chOff x="2009318" y="7334032"/>
            <a:chExt cx="383210" cy="660569"/>
          </a:xfrm>
        </xdr:grpSpPr>
        <xdr:grpSp>
          <xdr:nvGrpSpPr>
            <xdr:cNvPr id="37" name="Agrupar 36">
              <a:extLst>
                <a:ext uri="{FF2B5EF4-FFF2-40B4-BE49-F238E27FC236}">
                  <a16:creationId xmlns:a16="http://schemas.microsoft.com/office/drawing/2014/main" id="{E5DD8B00-7D79-0A0D-EE23-097013D00CDF}"/>
                </a:ext>
              </a:extLst>
            </xdr:cNvPr>
            <xdr:cNvGrpSpPr/>
          </xdr:nvGrpSpPr>
          <xdr:grpSpPr>
            <a:xfrm flipH="1">
              <a:off x="2009318" y="7611391"/>
              <a:ext cx="383210" cy="383210"/>
              <a:chOff x="-1186968" y="2559050"/>
              <a:chExt cx="383210" cy="383210"/>
            </a:xfrm>
          </xdr:grpSpPr>
          <xdr:sp macro="" textlink="">
            <xdr:nvSpPr>
              <xdr:cNvPr id="56" name="Elipse 55">
                <a:extLst>
                  <a:ext uri="{FF2B5EF4-FFF2-40B4-BE49-F238E27FC236}">
                    <a16:creationId xmlns:a16="http://schemas.microsoft.com/office/drawing/2014/main" id="{2E8A5955-53CD-5EB1-B37A-631B69C7E302}"/>
                  </a:ext>
                </a:extLst>
              </xdr:cNvPr>
              <xdr:cNvSpPr/>
            </xdr:nvSpPr>
            <xdr:spPr>
              <a:xfrm flipV="1">
                <a:off x="-1186968" y="2559050"/>
                <a:ext cx="383210" cy="383210"/>
              </a:xfrm>
              <a:prstGeom prst="ellipse">
                <a:avLst/>
              </a:prstGeom>
              <a:solidFill>
                <a:srgbClr val="FFFA00"/>
              </a:solidFill>
              <a:ln w="9525">
                <a:solidFill>
                  <a:schemeClr val="tx1">
                    <a:alpha val="67000"/>
                  </a:schemeClr>
                </a:solidFill>
                <a:prstDash val="sysDash"/>
                <a:headEnd type="none"/>
                <a:tailEnd type="triangle"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>
                <a:glow rad="76200">
                  <a:schemeClr val="bg1"/>
                </a:glo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defTabSz="914400"/>
                <a:endParaRPr lang="pt-BR" sz="1200" b="1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57" name="Agrupar 56">
                <a:extLst>
                  <a:ext uri="{FF2B5EF4-FFF2-40B4-BE49-F238E27FC236}">
                    <a16:creationId xmlns:a16="http://schemas.microsoft.com/office/drawing/2014/main" id="{74C30C0D-E3C8-A6CE-BCC2-E37585C1C78A}"/>
                  </a:ext>
                </a:extLst>
              </xdr:cNvPr>
              <xdr:cNvGrpSpPr/>
            </xdr:nvGrpSpPr>
            <xdr:grpSpPr>
              <a:xfrm>
                <a:off x="-1122430" y="2597088"/>
                <a:ext cx="252000" cy="276181"/>
                <a:chOff x="-1122430" y="2597088"/>
                <a:chExt cx="252000" cy="276181"/>
              </a:xfrm>
            </xdr:grpSpPr>
            <xdr:cxnSp macro="">
              <xdr:nvCxnSpPr>
                <xdr:cNvPr id="58" name="Conector reto 57">
                  <a:extLst>
                    <a:ext uri="{FF2B5EF4-FFF2-40B4-BE49-F238E27FC236}">
                      <a16:creationId xmlns:a16="http://schemas.microsoft.com/office/drawing/2014/main" id="{ECAF5436-45C3-6A4E-9FE5-69339657A574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122430" y="2739233"/>
                  <a:ext cx="252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9" name="Conector reto 58">
                  <a:extLst>
                    <a:ext uri="{FF2B5EF4-FFF2-40B4-BE49-F238E27FC236}">
                      <a16:creationId xmlns:a16="http://schemas.microsoft.com/office/drawing/2014/main" id="{47B613F7-033B-2949-DDA4-BF50489B0183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86430" y="2783912"/>
                  <a:ext cx="180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Conector reto 59">
                  <a:extLst>
                    <a:ext uri="{FF2B5EF4-FFF2-40B4-BE49-F238E27FC236}">
                      <a16:creationId xmlns:a16="http://schemas.microsoft.com/office/drawing/2014/main" id="{A06DA6F9-C069-D32E-9D95-EF0855D0A9E6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50430" y="2828591"/>
                  <a:ext cx="108000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1" name="Conector reto 60">
                  <a:extLst>
                    <a:ext uri="{FF2B5EF4-FFF2-40B4-BE49-F238E27FC236}">
                      <a16:creationId xmlns:a16="http://schemas.microsoft.com/office/drawing/2014/main" id="{4DA99C6A-4855-390A-E068-A412CD95CD4E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1015223" y="2873269"/>
                  <a:ext cx="37587" cy="0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2" name="Conector reto 61">
                  <a:extLst>
                    <a:ext uri="{FF2B5EF4-FFF2-40B4-BE49-F238E27FC236}">
                      <a16:creationId xmlns:a16="http://schemas.microsoft.com/office/drawing/2014/main" id="{2F8A537F-1A66-0F7D-5DAF-8511E28346BC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-996430" y="2597088"/>
                  <a:ext cx="0" cy="144526"/>
                </a:xfrm>
                <a:prstGeom prst="line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55" name="Conector de Seta Reta 54">
              <a:extLst>
                <a:ext uri="{FF2B5EF4-FFF2-40B4-BE49-F238E27FC236}">
                  <a16:creationId xmlns:a16="http://schemas.microsoft.com/office/drawing/2014/main" id="{07F36A69-5762-B932-682D-53222D428075}"/>
                </a:ext>
              </a:extLst>
            </xdr:cNvPr>
            <xdr:cNvCxnSpPr>
              <a:cxnSpLocks/>
              <a:stCxn id="56" idx="4"/>
            </xdr:cNvCxnSpPr>
          </xdr:nvCxnSpPr>
          <xdr:spPr>
            <a:xfrm flipV="1">
              <a:off x="2200923" y="7334032"/>
              <a:ext cx="97702" cy="277359"/>
            </a:xfrm>
            <a:prstGeom prst="straightConnector1">
              <a:avLst/>
            </a:prstGeom>
            <a:solidFill>
              <a:srgbClr val="E4BC25"/>
            </a:solidFill>
            <a:ln w="9525">
              <a:solidFill>
                <a:schemeClr val="tx1">
                  <a:alpha val="67000"/>
                </a:schemeClr>
              </a:solidFill>
              <a:prstDash val="sysDash"/>
              <a:headEnd type="none"/>
              <a:tailEnd type="triangle" w="sm" len="med"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>
              <a:glow rad="38100">
                <a:schemeClr val="bg1">
                  <a:alpha val="72000"/>
                </a:schemeClr>
              </a:glo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</xdr:grp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E801AE02-C10A-5418-4495-E2B564654700}"/>
              </a:ext>
            </a:extLst>
          </xdr:cNvPr>
          <xdr:cNvSpPr/>
        </xdr:nvSpPr>
        <xdr:spPr>
          <a:xfrm rot="10800000" flipH="1" flipV="1">
            <a:off x="1881682" y="8003302"/>
            <a:ext cx="638482" cy="161583"/>
          </a:xfrm>
          <a:prstGeom prst="rect">
            <a:avLst/>
          </a:prstGeom>
          <a:noFill/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0" b="1">
                <a:solidFill>
                  <a:srgbClr val="FF0000"/>
                </a:solidFill>
                <a:effectLst>
                  <a:glow rad="127000">
                    <a:schemeClr val="bg1"/>
                  </a:glow>
                </a:effectLst>
              </a:rPr>
              <a:t>(3x-ABC) </a:t>
            </a:r>
            <a:endParaRPr lang="pt-BR" sz="1050">
              <a:effectLst>
                <a:glow rad="127000">
                  <a:schemeClr val="bg1"/>
                </a:glow>
              </a:effectLst>
            </a:endParaRPr>
          </a:p>
        </xdr:txBody>
      </xdr:sp>
    </xdr:grpSp>
    <xdr:clientData/>
  </xdr:twoCellAnchor>
  <xdr:twoCellAnchor editAs="absolute">
    <xdr:from>
      <xdr:col>51</xdr:col>
      <xdr:colOff>127000</xdr:colOff>
      <xdr:row>5</xdr:row>
      <xdr:rowOff>182562</xdr:rowOff>
    </xdr:from>
    <xdr:to>
      <xdr:col>69</xdr:col>
      <xdr:colOff>111670</xdr:colOff>
      <xdr:row>18</xdr:row>
      <xdr:rowOff>73879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599AB8DF-448E-417A-8CDF-A78174BA765D}"/>
            </a:ext>
          </a:extLst>
        </xdr:cNvPr>
        <xdr:cNvGrpSpPr/>
      </xdr:nvGrpSpPr>
      <xdr:grpSpPr>
        <a:xfrm>
          <a:off x="8159750" y="960437"/>
          <a:ext cx="3413670" cy="2185255"/>
          <a:chOff x="8286749" y="959826"/>
          <a:chExt cx="3413670" cy="2198077"/>
        </a:xfrm>
      </xdr:grpSpPr>
      <xdr:sp macro="" textlink="">
        <xdr:nvSpPr>
          <xdr:cNvPr id="64" name="CaixaDeTexto 5">
            <a:extLst>
              <a:ext uri="{FF2B5EF4-FFF2-40B4-BE49-F238E27FC236}">
                <a16:creationId xmlns:a16="http://schemas.microsoft.com/office/drawing/2014/main" id="{4CCC0FFD-E45A-E865-0445-E75F8A403923}"/>
              </a:ext>
            </a:extLst>
          </xdr:cNvPr>
          <xdr:cNvSpPr txBox="1"/>
        </xdr:nvSpPr>
        <xdr:spPr>
          <a:xfrm>
            <a:off x="8286749" y="959826"/>
            <a:ext cx="3413670" cy="2198077"/>
          </a:xfrm>
          <a:prstGeom prst="roundRect">
            <a:avLst>
              <a:gd name="adj" fmla="val 3359"/>
            </a:avLst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/>
              <a:t>Caso a</a:t>
            </a:r>
            <a:r>
              <a:rPr lang="pt-BR" sz="1100" baseline="0"/>
              <a:t> intervenção não tenha aterramento essa aba deve ser ocultada.</a:t>
            </a:r>
            <a:br>
              <a:rPr lang="pt-BR" sz="1100" baseline="0"/>
            </a:br>
            <a:endParaRPr lang="pt-BR" sz="400" baseline="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i="1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Procedimento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clicar com o 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botão direito 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sobre a aba "Croqui" e depois clicar em 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</a:t>
            </a:r>
            <a:r>
              <a:rPr lang="pt-BR" sz="1100" b="1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</a:t>
            </a:r>
            <a:r>
              <a:rPr lang="pt-B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ultar</a:t>
            </a:r>
            <a:r>
              <a:rPr lang="pt-B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pt-BR">
              <a:effectLst/>
            </a:endParaRPr>
          </a:p>
        </xdr:txBody>
      </xdr:sp>
      <xdr:pic>
        <xdr:nvPicPr>
          <xdr:cNvPr id="65" name="Imagem 64">
            <a:extLst>
              <a:ext uri="{FF2B5EF4-FFF2-40B4-BE49-F238E27FC236}">
                <a16:creationId xmlns:a16="http://schemas.microsoft.com/office/drawing/2014/main" id="{86A96804-4C9D-2B01-06D9-C4644EB3D8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711711" y="1853712"/>
            <a:ext cx="2565746" cy="1258270"/>
          </a:xfrm>
          <a:prstGeom prst="rect">
            <a:avLst/>
          </a:prstGeom>
        </xdr:spPr>
      </xdr:pic>
      <xdr:sp macro="" textlink="">
        <xdr:nvSpPr>
          <xdr:cNvPr id="66" name="Retângulo 6">
            <a:extLst>
              <a:ext uri="{FF2B5EF4-FFF2-40B4-BE49-F238E27FC236}">
                <a16:creationId xmlns:a16="http://schemas.microsoft.com/office/drawing/2014/main" id="{E73A6599-2747-1A1A-27CB-9A022CCA8241}"/>
              </a:ext>
            </a:extLst>
          </xdr:cNvPr>
          <xdr:cNvSpPr/>
        </xdr:nvSpPr>
        <xdr:spPr>
          <a:xfrm>
            <a:off x="9488365" y="2894135"/>
            <a:ext cx="446943" cy="1745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7" name="Retângulo 6">
            <a:extLst>
              <a:ext uri="{FF2B5EF4-FFF2-40B4-BE49-F238E27FC236}">
                <a16:creationId xmlns:a16="http://schemas.microsoft.com/office/drawing/2014/main" id="{9C33D6A5-8B1B-4835-8497-9C868AC0D43D}"/>
              </a:ext>
            </a:extLst>
          </xdr:cNvPr>
          <xdr:cNvSpPr/>
        </xdr:nvSpPr>
        <xdr:spPr>
          <a:xfrm>
            <a:off x="9876692" y="1868366"/>
            <a:ext cx="446943" cy="1745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140619</xdr:colOff>
      <xdr:row>1</xdr:row>
      <xdr:rowOff>32425</xdr:rowOff>
    </xdr:from>
    <xdr:to>
      <xdr:col>2</xdr:col>
      <xdr:colOff>121596</xdr:colOff>
      <xdr:row>3</xdr:row>
      <xdr:rowOff>209973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47898BE9-0F5D-4DC5-B50A-51C2CC5517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5869" y="127675"/>
          <a:ext cx="1000152" cy="653798"/>
        </a:xfrm>
        <a:prstGeom prst="rect">
          <a:avLst/>
        </a:prstGeom>
        <a:ln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171196</xdr:colOff>
      <xdr:row>0</xdr:row>
      <xdr:rowOff>94308</xdr:rowOff>
    </xdr:from>
    <xdr:to>
      <xdr:col>18</xdr:col>
      <xdr:colOff>14164</xdr:colOff>
      <xdr:row>4</xdr:row>
      <xdr:rowOff>36633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0A818D-7C03-4E05-8D39-AC6E8E14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6771" y="94308"/>
          <a:ext cx="7167693" cy="83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A8100-2606-437C-B57B-687BB3743EA5}" name="Tabela1" displayName="Tabela1" ref="B9:R24" totalsRowShown="0" headerRowDxfId="109" dataDxfId="107" headerRowBorderDxfId="108" tableBorderDxfId="106" totalsRowBorderDxfId="105">
  <autoFilter ref="B9:R24" xr:uid="{7C923E4B-4C62-4885-8BFA-FA94FA612A01}"/>
  <sortState xmlns:xlrd2="http://schemas.microsoft.com/office/spreadsheetml/2017/richdata2" ref="B10:R24">
    <sortCondition descending="1" ref="I9:I24"/>
  </sortState>
  <tableColumns count="17">
    <tableColumn id="1" xr3:uid="{EECBCAE4-23FE-4FB0-9459-822F99003F24}" name="ÁREA" dataDxfId="104"/>
    <tableColumn id="3" xr3:uid="{AD49211B-438D-4BB6-88CC-482DF7689E59}" name="ATIVIDADE" dataDxfId="103"/>
    <tableColumn id="4" xr3:uid="{A3195984-FC14-4205-83A3-D5FDB068A480}" name="PERIGO" dataDxfId="102">
      <calculatedColumnFormula>IF(Tabela1[[#This Row],[ATIVIDADE]]="","",_xlfn.XLOOKUP(Tabela1[[#This Row],[ATIVIDADE]],Tabela13[ATIVIDADE],Tabela13[PERIGO],"",0))</calculatedColumnFormula>
    </tableColumn>
    <tableColumn id="6" xr3:uid="{7E013416-CC52-4646-B050-E1BC03E7FA96}" name="DANOS / IMPACTO" dataDxfId="101">
      <calculatedColumnFormula>IF(Tabela1[[#This Row],[ATIVIDADE]]="","",_xlfn.XLOOKUP(Tabela1[[#This Row],[ATIVIDADE]],Tabela13[ATIVIDADE],Tabela13[DANOS / IMPACTO],"",0))</calculatedColumnFormula>
    </tableColumn>
    <tableColumn id="7" xr3:uid="{45DDB155-3297-4843-AD5E-2C0E5EED5F22}" name="RISCO" dataDxfId="100">
      <calculatedColumnFormula>IF(Tabela1[[#This Row],[ATIVIDADE]]="","",_xlfn.XLOOKUP(Tabela1[[#This Row],[ATIVIDADE]],Tabela13[ATIVIDADE],Tabela13[RISCO],"",0))</calculatedColumnFormula>
    </tableColumn>
    <tableColumn id="8" xr3:uid="{00001506-B30C-4E17-9990-A0DF1E5B1298}" name="SEVERI-DADE" dataDxfId="99">
      <calculatedColumnFormula>IF(Tabela1[[#This Row],[ATIVIDADE]]="","",_xlfn.XLOOKUP(Tabela1[[#This Row],[ATIVIDADE]],Tabela13[ATIVIDADE],Tabela13[SEVERI-DADE],"",0))</calculatedColumnFormula>
    </tableColumn>
    <tableColumn id="9" xr3:uid="{3F139B6C-5EA0-410A-9E45-53D602B94590}" name="PROBA-BILIDA-DE" dataDxfId="98">
      <calculatedColumnFormula>IF(Tabela1[[#This Row],[ATIVIDADE]]="","",_xlfn.XLOOKUP(Tabela1[[#This Row],[ATIVIDADE]],Tabela13[ATIVIDADE],Tabela13[PROBA-BILIDA-DE],"",0))</calculatedColumnFormula>
    </tableColumn>
    <tableColumn id="10" xr3:uid="{5D54894C-030F-4B0F-8FF1-DF558429748A}" name="GRAU DE SIGNIFICÂNCIA (Risco)" dataDxfId="97">
      <calculatedColumnFormula>IFERROR(INDEX(Tabelas!$E$5:$I$9, MATCH(Tabela1[[#This Row],[PROBA-BILIDA-DE]], Tabelas!$D$5:$D$9, 0), MATCH(Tabela1[[#This Row],[SEVERI-DADE]], Tabelas!$E$4:$I$4, 0)),"")</calculatedColumnFormula>
    </tableColumn>
    <tableColumn id="11" xr3:uid="{E6EB32B3-86E0-4D1F-A6D5-8B36B4F70C1C}" name="ELIMINAÇÃO" dataDxfId="96">
      <calculatedColumnFormula>IF(Tabela1[[#This Row],[ATIVIDADE]]="","",_xlfn.XLOOKUP(Tabela1[[#This Row],[ATIVIDADE]],Tabela13[ATIVIDADE],Tabela13[ELIMINAÇÃO],"",0))</calculatedColumnFormula>
    </tableColumn>
    <tableColumn id="12" xr3:uid="{8CC06E70-3E25-4768-8140-6003A6DF757A}" name="SUBSTITUIÇÃO" dataDxfId="95">
      <calculatedColumnFormula>IF(Tabela1[[#This Row],[ATIVIDADE]]="","",_xlfn.XLOOKUP(Tabela1[[#This Row],[ATIVIDADE]],Tabela13[ATIVIDADE],Tabela13[SUBSTITUIÇÃO],"",0))</calculatedColumnFormula>
    </tableColumn>
    <tableColumn id="13" xr3:uid="{9BEB7270-556C-4349-96A9-4E4015CB9D95}" name="CONTROLES DE ENGENHARIA" dataDxfId="94">
      <calculatedColumnFormula>IF(Tabela1[[#This Row],[ATIVIDADE]]="","",_xlfn.XLOOKUP(Tabela1[[#This Row],[ATIVIDADE]],Tabela13[ATIVIDADE],Tabela13[CONTROLES DE ENGENHARIA],"",0))</calculatedColumnFormula>
    </tableColumn>
    <tableColumn id="14" xr3:uid="{9107438F-0906-4D32-A07C-8C56F4C49ADB}" name="SINALIZAÇÃO/ ALERTAS E/OU CONTROLE ADM" dataDxfId="93">
      <calculatedColumnFormula>IF(Tabela1[[#This Row],[ATIVIDADE]]="","",_xlfn.XLOOKUP(Tabela1[[#This Row],[ATIVIDADE]],Tabela13[ATIVIDADE],Tabela13[SINALIZAÇÃO/ ALERTAS E/OU CONTROLE ADM],"",0))</calculatedColumnFormula>
    </tableColumn>
    <tableColumn id="15" xr3:uid="{3F034002-7B38-4807-82DF-E69EE7E64896}" name="EPI" dataDxfId="92">
      <calculatedColumnFormula>IF(Tabela1[[#This Row],[ATIVIDADE]]="","",_xlfn.XLOOKUP(Tabela1[[#This Row],[ATIVIDADE]],Tabela13[ATIVIDADE],Tabela13[EPI],"",0))</calculatedColumnFormula>
    </tableColumn>
    <tableColumn id="2" xr3:uid="{E3AC73FC-FA15-401C-883F-61A92B4A352A}" name="SEVERI-DADE " dataDxfId="91">
      <calculatedColumnFormula>IF(Tabela1[[#This Row],[ATIVIDADE]]="","",_xlfn.XLOOKUP(Tabela1[[#This Row],[ATIVIDADE]],Tabela13[ATIVIDADE],Tabela13[SEVERI-DADE ],"",0))</calculatedColumnFormula>
    </tableColumn>
    <tableColumn id="5" xr3:uid="{6226436F-866D-47A9-96DE-399BFA26DC5D}" name="PROBA-BILIDA-DE " dataDxfId="90">
      <calculatedColumnFormula>IF(Tabela1[[#This Row],[ATIVIDADE]]="","",_xlfn.XLOOKUP(Tabela1[[#This Row],[ATIVIDADE]],Tabela13[ATIVIDADE],Tabela13[PROBA-BILIDA-DE ],"",0))</calculatedColumnFormula>
    </tableColumn>
    <tableColumn id="16" xr3:uid="{1E392BC1-020B-4B89-A559-40EDD42899B0}" name="GRAU DE SIGNIFICÂNCIA  (Risco)_x000a_Após ações e medidas de controle" dataDxfId="89">
      <calculatedColumnFormula>IFERROR(INDEX(Tabelas!$E$5:$I$9, MATCH(Tabela1[[#This Row],[PROBA-BILIDA-DE ]], Tabelas!$D$5:$D$9, 0), MATCH(Tabela1[[#This Row],[SEVERI-DADE ]], Tabelas!$E$4:$I$4, 0)),"")</calculatedColumnFormula>
    </tableColumn>
    <tableColumn id="17" xr3:uid="{74E5C778-0730-48AB-A0EA-36EAF7368683}" name="CONTROLES ESPECÍFICOS" dataDxfId="88">
      <calculatedColumnFormula>IF(Tabela1[[#This Row],[ATIVIDADE]]="","",_xlfn.XLOOKUP(Tabela1[[#This Row],[ATIVIDADE]],Tabela13[ATIVIDADE],Tabela13[CONTROLES ESPECÍFICOS],"",0))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D497D1-76E4-4C82-870D-6A901199B4B1}" name="Tabela138" displayName="Tabela138" ref="B6:L33" totalsRowShown="0" headerRowDxfId="87" dataDxfId="86">
  <autoFilter ref="B6:L33" xr:uid="{366E4A37-84A6-4535-875D-32EBC4310179}"/>
  <tableColumns count="11">
    <tableColumn id="1" xr3:uid="{16A1258E-7B7B-446C-AC92-AEA26C65D055}" name="Tipo do Ponto Crítico" dataDxfId="85"/>
    <tableColumn id="11" xr3:uid="{09D55D55-0EBC-4708-A0A8-125D7FE5A8D9}" name="Item" dataDxfId="84"/>
    <tableColumn id="2" xr3:uid="{26A96D06-749A-41F5-B169-8111D19C942F}" name="Ponto Crítico" dataDxfId="83"/>
    <tableColumn id="7" xr3:uid="{D32D0E61-B1F4-4EE9-A410-22DFC0A4DF8B}" name="Responsável" dataDxfId="82"/>
    <tableColumn id="8" xr3:uid="{2EEA3514-149A-4498-BCBA-AD87F536F869}" name="Verificador" dataDxfId="81"/>
    <tableColumn id="13" xr3:uid="{41062089-BF1F-4E62-9C1F-3F0710E8A398}" name="Controlar p/ fase?" dataDxfId="80"/>
    <tableColumn id="12" xr3:uid="{7B366682-D882-478F-B952-22FA4ED99EE0}" name="#" dataDxfId="79">
      <calculatedColumnFormula>IF(AND(Tabela138[[#This Row],[Item]]&lt;&gt;"",LEN(Tabela138[[#This Row],[Item]])&lt;3),1,"")</calculatedColumnFormula>
    </tableColumn>
    <tableColumn id="16" xr3:uid="{F1B7281B-603C-4C17-B745-B7BDDA6C2571}" name="Horário" dataDxfId="78">
      <calculatedColumnFormula>"___:___"</calculatedColumnFormula>
    </tableColumn>
    <tableColumn id="5" xr3:uid="{E8096597-159F-472D-A02A-ABEDA1DF94BF}" name="Horário fase A" dataDxfId="77">
      <calculatedColumnFormula>"___:___"</calculatedColumnFormula>
    </tableColumn>
    <tableColumn id="14" xr3:uid="{3839E55B-A0F5-4B7C-9912-3BC1B747959F}" name="Horário fase B" dataDxfId="76">
      <calculatedColumnFormula>"___:___"</calculatedColumnFormula>
    </tableColumn>
    <tableColumn id="15" xr3:uid="{42C2F694-3DE5-4294-9EC4-554901680C01}" name="Horário fase C" dataDxfId="75">
      <calculatedColumnFormula>"___:___"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0DDF76-3522-4467-8279-D8B0CFDA3665}" name="Tabela6" displayName="Tabela6" ref="A1:D71" totalsRowShown="0" headerRowDxfId="74" headerRowBorderDxfId="73" tableBorderDxfId="72" headerRowCellStyle="Normal 3">
  <autoFilter ref="A1:D71" xr:uid="{D00DDF76-3522-4467-8279-D8B0CFDA3665}"/>
  <tableColumns count="4">
    <tableColumn id="2" xr3:uid="{B9A253D1-4EF3-4D63-B056-B15E73575443}" name="Nome Completo" dataDxfId="71" dataCellStyle="Normal 4"/>
    <tableColumn id="3" xr3:uid="{1B79ED16-7442-4AE3-B9DC-ADDAC8C7C892}" name="Empresa/Equipe" dataDxfId="70" dataCellStyle="Normal 3"/>
    <tableColumn id="4" xr3:uid="{89EDAA16-DDC5-4C43-8367-42391ED86E85}" name="Matrícula SAP/ Documento" dataDxfId="69" dataCellStyle="Normal 4"/>
    <tableColumn id="5" xr3:uid="{7F588041-10E1-4771-9D3F-8D987B40A118}" name="Telefone" dataDxfId="68" dataCellStyle="Normal 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74A35-4FC1-4340-AE0A-E2131E84ED68}" name="Tabela13" displayName="Tabela13" ref="B9:R83" totalsRowShown="0" headerRowDxfId="67" dataDxfId="65" headerRowBorderDxfId="66" tableBorderDxfId="64" totalsRowBorderDxfId="63">
  <autoFilter ref="B9:R83" xr:uid="{7C923E4B-4C62-4885-8BFA-FA94FA612A01}"/>
  <sortState xmlns:xlrd2="http://schemas.microsoft.com/office/spreadsheetml/2017/richdata2" ref="B10:R83">
    <sortCondition descending="1" ref="I9:I83"/>
  </sortState>
  <tableColumns count="17">
    <tableColumn id="1" xr3:uid="{A3486A30-88EC-4F29-AB53-7C6B038EFB6B}" name="ÁREA" dataDxfId="62"/>
    <tableColumn id="3" xr3:uid="{E721E7A5-C24D-441B-B433-CC53B62195C5}" name="ATIVIDADE" dataDxfId="61"/>
    <tableColumn id="4" xr3:uid="{50AC7E12-041B-46B3-AA3C-9246A09BD70B}" name="PERIGO" dataDxfId="60"/>
    <tableColumn id="6" xr3:uid="{E5B0A85D-7E45-4EDB-896F-8E4B1270E7CA}" name="DANOS / IMPACTO" dataDxfId="59"/>
    <tableColumn id="7" xr3:uid="{6FA53352-A063-4E81-B530-9FE1AC0FD405}" name="RISCO" dataDxfId="58"/>
    <tableColumn id="8" xr3:uid="{3A306757-63E8-4E2E-86F6-7AE3D34C6819}" name="SEVERI-DADE" dataDxfId="57"/>
    <tableColumn id="9" xr3:uid="{4C557049-74A3-4044-9423-D902DCAA04D0}" name="PROBA-BILIDA-DE" dataDxfId="56"/>
    <tableColumn id="10" xr3:uid="{6E6DD1CC-04D4-4327-A9DA-037F87BD457A}" name="GRAU DE SIGNIFICÂNCIA (Risco)" dataDxfId="55">
      <calculatedColumnFormula>IFERROR(INDEX(Tabelas!$E$5:$I$9, MATCH(Tabela13[[#This Row],[PROBA-BILIDA-DE]], Tabelas!$D$5:$D$9, 0), MATCH(Tabela13[[#This Row],[SEVERI-DADE]], Tabelas!$E$4:$I$4, 0)),"")</calculatedColumnFormula>
    </tableColumn>
    <tableColumn id="11" xr3:uid="{B671701B-225C-4631-AF06-21F9D990FF8B}" name="ELIMINAÇÃO" dataDxfId="54"/>
    <tableColumn id="12" xr3:uid="{201FA956-8C69-4BD4-BCC2-88B9DBDE7A3B}" name="SUBSTITUIÇÃO" dataDxfId="53"/>
    <tableColumn id="13" xr3:uid="{757F4DCF-65C0-4675-AA9D-9017F021514E}" name="CONTROLES DE ENGENHARIA" dataDxfId="52"/>
    <tableColumn id="14" xr3:uid="{F27159ED-D19A-4791-9B26-1E1A52C55167}" name="SINALIZAÇÃO/ ALERTAS E/OU CONTROLE ADM" dataDxfId="51"/>
    <tableColumn id="15" xr3:uid="{CE9CC62F-776D-4FA7-B08C-F8931BFB52C6}" name="EPI" dataDxfId="50"/>
    <tableColumn id="2" xr3:uid="{CABCCB78-1B7F-476D-B3CD-25C5F0B39057}" name="SEVERI-DADE " dataDxfId="49"/>
    <tableColumn id="5" xr3:uid="{69946E16-B970-45FD-A6A0-2C919B661406}" name="PROBA-BILIDA-DE " dataDxfId="48"/>
    <tableColumn id="16" xr3:uid="{3F1B9469-683C-43BF-AA54-8C441061A217}" name="GRAU DE SIGNIFICÂNCIA  (Risco)_x000a_Após ações e medidas de controle" dataDxfId="47">
      <calculatedColumnFormula>IFERROR(INDEX(Tabelas!$E$5:$I$9, MATCH(Tabela13[[#This Row],[PROBA-BILIDA-DE ]], Tabelas!$D$5:$D$9, 0), MATCH(Tabela13[[#This Row],[SEVERI-DADE ]], Tabelas!$E$4:$I$4, 0)),"")</calculatedColumnFormula>
    </tableColumn>
    <tableColumn id="17" xr3:uid="{A7E8865A-DF97-4FC7-BBC3-1ADADFED76F1}" name="CONTROLES ESPECÍFICOS" dataDxfId="4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8E94451-8DB0-4CE9-AB6C-E44B0C3CD215}" name="Tabela13814" displayName="Tabela13814" ref="B6:L33" totalsRowShown="0" headerRowDxfId="45" dataDxfId="44">
  <autoFilter ref="B6:L33" xr:uid="{366E4A37-84A6-4535-875D-32EBC4310179}"/>
  <tableColumns count="11">
    <tableColumn id="1" xr3:uid="{7CAF8C13-3314-49B6-A0B6-67C51B5BEE65}" name="Tipo do Ponto Crítico" dataDxfId="43"/>
    <tableColumn id="11" xr3:uid="{15C74E03-235D-44D4-83A5-DA5F368390A4}" name="Item" dataDxfId="42"/>
    <tableColumn id="2" xr3:uid="{C70C65DB-51F8-43FE-A044-5953286EABD4}" name="Ponto Crítico" dataDxfId="41"/>
    <tableColumn id="7" xr3:uid="{4FEECB4F-8247-4C34-B131-B4488D505520}" name="Responsável" dataDxfId="40"/>
    <tableColumn id="8" xr3:uid="{FF811093-5A94-4F2D-AA32-D611F9CD67DB}" name="Verificador" dataDxfId="39"/>
    <tableColumn id="13" xr3:uid="{2DB4E3AF-FB26-4A9B-A6EA-FCF37307828E}" name="Controlar p/ fase?" dataDxfId="38"/>
    <tableColumn id="12" xr3:uid="{61A380CF-8C8A-429D-A457-E0369449AF6E}" name="#" dataDxfId="37">
      <calculatedColumnFormula>IF(AND(Tabela13814[[#This Row],[Item]]&lt;&gt;"",LEN(Tabela13814[[#This Row],[Item]])&lt;3),1,"")</calculatedColumnFormula>
    </tableColumn>
    <tableColumn id="16" xr3:uid="{E29F1DEC-C698-4B2D-B988-AD8053DF20DB}" name="Horário" dataDxfId="36">
      <calculatedColumnFormula>"___:___"</calculatedColumnFormula>
    </tableColumn>
    <tableColumn id="5" xr3:uid="{A29C5E5C-FA06-430D-BBD9-006D47218353}" name="Horário fase A" dataDxfId="35">
      <calculatedColumnFormula>"___:___"</calculatedColumnFormula>
    </tableColumn>
    <tableColumn id="14" xr3:uid="{4555CC3D-68AC-438E-8C30-083DCE6D73B7}" name="Horário fase B" dataDxfId="34">
      <calculatedColumnFormula>"___:___"</calculatedColumnFormula>
    </tableColumn>
    <tableColumn id="15" xr3:uid="{D8529332-7CA0-4C9C-9173-D2E27710DA60}" name="Horário fase C" dataDxfId="33">
      <calculatedColumnFormula>"___:___"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3BF72D-A6B0-45EA-84B3-CA2CCEB8469E}" name="TBL_Tipo_PC" displayName="TBL_Tipo_PC" ref="B2:B5" totalsRowShown="0" headerRowDxfId="32">
  <autoFilter ref="B2:B5" xr:uid="{CA66C930-6DAA-4510-AEBE-2E596D99D5AC}"/>
  <tableColumns count="1">
    <tableColumn id="1" xr3:uid="{A9CA3E64-7DF3-45B3-813F-184F55FB10E2}" name="Tipo do Ponto Crític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F9F77C-8A68-4CED-8167-10B6AAF9F7B3}" name="TBL_Resp" displayName="TBL_Resp" ref="D2:D5" totalsRowShown="0" headerRowDxfId="31">
  <autoFilter ref="D2:D5" xr:uid="{ED86398A-FC53-4B5A-94AC-7ED85B3A9A48}"/>
  <tableColumns count="1">
    <tableColumn id="1" xr3:uid="{57E2552C-1C90-4E55-9B21-3A4016DE6C03}" name="Responsável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A1AB4-C307-4385-9B71-B466DF7479C8}" name="TBL_Verif" displayName="TBL_Verif" ref="F2:F8" totalsRowShown="0" headerRowDxfId="30">
  <autoFilter ref="F2:F8" xr:uid="{965EEB8C-B533-4EFF-B407-ED438A08D326}"/>
  <tableColumns count="1">
    <tableColumn id="1" xr3:uid="{A17E3BEB-480F-44B5-ACF4-0CA0A9E5331A}" name="Verificador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812ED3-1D17-4E07-9633-4FBF6EC22194}" name="TBL_Tipo_PC10" displayName="TBL_Tipo_PC10" ref="H2:H5" totalsRowShown="0" headerRowDxfId="29">
  <autoFilter ref="H2:H5" xr:uid="{AC812ED3-1D17-4E07-9633-4FBF6EC22194}"/>
  <tableColumns count="1">
    <tableColumn id="1" xr3:uid="{2C6766EF-D882-4B25-9418-59BE5F9D156C}" name="Tipo Document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E70BC9-6042-440E-8C21-3C8A65C5FA79}" name="TBL_Tipo_PC1011" displayName="TBL_Tipo_PC1011" ref="J2:J5" totalsRowShown="0" headerRowDxfId="28">
  <autoFilter ref="J2:J5" xr:uid="{AAE70BC9-6042-440E-8C21-3C8A65C5FA79}"/>
  <tableColumns count="1">
    <tableColumn id="1" xr3:uid="{9634F8FB-2118-40E0-99BB-BCEA41BDB45D}" name="Avaliação do Risco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B3D346-BC7C-4096-B9F9-ADD867426BE8}" name="TBL_Tipo_PC101112" displayName="TBL_Tipo_PC101112" ref="L2:L42" totalsRowShown="0" headerRowDxfId="27" dataDxfId="26">
  <autoFilter ref="L2:L42" xr:uid="{C8B3D346-BC7C-4096-B9F9-ADD867426BE8}"/>
  <sortState xmlns:xlrd2="http://schemas.microsoft.com/office/spreadsheetml/2017/richdata2" ref="L3:L42">
    <sortCondition ref="L2:L42"/>
  </sortState>
  <tableColumns count="1">
    <tableColumn id="1" xr3:uid="{B4CB42C0-0198-4F82-9CA5-D7004C760FC4}" name="Instalação" dataDxfId="2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0A4E-87E7-4527-88C3-12309E85C70D}">
  <sheetPr codeName="Planilha1">
    <tabColor rgb="FF0066FF"/>
    <pageSetUpPr fitToPage="1"/>
  </sheetPr>
  <dimension ref="A1:CV393"/>
  <sheetViews>
    <sheetView showGridLines="0" tabSelected="1" zoomScale="120" zoomScaleNormal="120" zoomScaleSheetLayoutView="160" zoomScalePageLayoutView="85" workbookViewId="0">
      <selection activeCell="D343" sqref="D343:J343"/>
    </sheetView>
  </sheetViews>
  <sheetFormatPr defaultColWidth="2.85546875" defaultRowHeight="14.25" x14ac:dyDescent="0.2"/>
  <cols>
    <col min="1" max="1" width="1.42578125" style="8" customWidth="1"/>
    <col min="2" max="3" width="2.42578125" style="9" customWidth="1"/>
    <col min="4" max="45" width="2.42578125" style="8" customWidth="1"/>
    <col min="46" max="51" width="2.42578125" style="9" customWidth="1"/>
    <col min="52" max="52" width="2.85546875" style="8"/>
    <col min="53" max="53" width="2.85546875" style="8" customWidth="1"/>
    <col min="54" max="54" width="2.85546875" style="2" customWidth="1"/>
    <col min="55" max="55" width="5.7109375" style="3" hidden="1" customWidth="1"/>
    <col min="56" max="56" width="18.7109375" style="3" hidden="1" customWidth="1"/>
    <col min="57" max="57" width="98.42578125" style="3" hidden="1" customWidth="1"/>
    <col min="58" max="58" width="17.140625" style="3" hidden="1" customWidth="1"/>
    <col min="59" max="59" width="2.85546875" style="4" customWidth="1"/>
    <col min="60" max="83" width="2.85546875" style="4"/>
    <col min="84" max="16384" width="2.85546875" style="2"/>
  </cols>
  <sheetData>
    <row r="1" spans="2:58" ht="7.5" customHeight="1" thickBot="1" x14ac:dyDescent="0.25"/>
    <row r="2" spans="2:58" ht="15.75" customHeight="1" thickTop="1" x14ac:dyDescent="0.2">
      <c r="B2" s="340"/>
      <c r="C2" s="341"/>
      <c r="D2" s="341"/>
      <c r="E2" s="341"/>
      <c r="F2" s="341"/>
      <c r="G2" s="341"/>
      <c r="H2" s="341"/>
      <c r="I2" s="327" t="s">
        <v>0</v>
      </c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328"/>
      <c r="AN2" s="328"/>
      <c r="AO2" s="320" t="s">
        <v>1</v>
      </c>
      <c r="AP2" s="321"/>
      <c r="AQ2" s="321"/>
      <c r="AR2" s="321"/>
      <c r="AS2" s="308" t="s">
        <v>1143</v>
      </c>
      <c r="AT2" s="308"/>
      <c r="AU2" s="308"/>
      <c r="AV2" s="308"/>
      <c r="AW2" s="308"/>
      <c r="AX2" s="308"/>
      <c r="AY2" s="308"/>
    </row>
    <row r="3" spans="2:58" ht="15" customHeight="1" thickBot="1" x14ac:dyDescent="0.25">
      <c r="B3" s="342"/>
      <c r="C3" s="343"/>
      <c r="D3" s="343"/>
      <c r="E3" s="343"/>
      <c r="F3" s="343"/>
      <c r="G3" s="343"/>
      <c r="H3" s="343"/>
      <c r="I3" s="329" t="s">
        <v>2</v>
      </c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22"/>
      <c r="AP3" s="323"/>
      <c r="AQ3" s="323"/>
      <c r="AR3" s="323"/>
      <c r="AS3" s="309"/>
      <c r="AT3" s="309"/>
      <c r="AU3" s="309"/>
      <c r="AV3" s="309"/>
      <c r="AW3" s="309"/>
      <c r="AX3" s="309"/>
      <c r="AY3" s="309"/>
    </row>
    <row r="4" spans="2:58" ht="15.75" customHeight="1" thickTop="1" thickBot="1" x14ac:dyDescent="0.25">
      <c r="B4" s="344"/>
      <c r="C4" s="345"/>
      <c r="D4" s="345"/>
      <c r="E4" s="345"/>
      <c r="F4" s="345"/>
      <c r="G4" s="345"/>
      <c r="H4" s="345"/>
      <c r="I4" s="331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24" t="s">
        <v>3</v>
      </c>
      <c r="AP4" s="325"/>
      <c r="AQ4" s="325"/>
      <c r="AR4" s="325"/>
      <c r="AS4" s="326">
        <v>1</v>
      </c>
      <c r="AT4" s="326"/>
      <c r="AU4" s="326"/>
      <c r="AV4" s="326"/>
      <c r="AW4" s="326"/>
      <c r="AX4" s="326"/>
      <c r="AY4" s="326"/>
    </row>
    <row r="5" spans="2:58" s="4" customFormat="1" ht="7.5" customHeight="1" thickTop="1" x14ac:dyDescent="0.2"/>
    <row r="6" spans="2:58" x14ac:dyDescent="0.2">
      <c r="B6" s="225" t="s">
        <v>4</v>
      </c>
      <c r="C6" s="226"/>
      <c r="D6" s="227" t="s">
        <v>5</v>
      </c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8"/>
      <c r="BC6" s="25"/>
      <c r="BD6" s="25"/>
      <c r="BE6" s="25"/>
      <c r="BF6" s="25"/>
    </row>
    <row r="7" spans="2:58" ht="7.5" customHeight="1" thickBot="1" x14ac:dyDescent="0.25"/>
    <row r="8" spans="2:58" ht="15.75" thickTop="1" thickBot="1" x14ac:dyDescent="0.25">
      <c r="B8" s="262" t="s">
        <v>6</v>
      </c>
      <c r="C8" s="262"/>
      <c r="D8" s="262"/>
      <c r="E8" s="262"/>
      <c r="F8" s="262"/>
      <c r="G8" s="262"/>
      <c r="H8" s="233" t="s">
        <v>7</v>
      </c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306" t="s">
        <v>8</v>
      </c>
      <c r="AB8" s="306"/>
      <c r="AC8" s="306"/>
      <c r="AD8" s="306"/>
      <c r="AE8" s="306"/>
      <c r="AF8" s="306"/>
      <c r="AG8" s="229">
        <f>_xlfn.XLOOKUP(H8,Tabela6[Nome Completo],Tabela6[Matrícula SAP/ Documento],"",0)</f>
        <v>268186</v>
      </c>
      <c r="AH8" s="230"/>
      <c r="AI8" s="230"/>
      <c r="AJ8" s="230"/>
      <c r="AK8" s="230"/>
      <c r="AL8" s="230"/>
      <c r="AM8" s="230"/>
      <c r="AN8" s="262" t="s">
        <v>9</v>
      </c>
      <c r="AO8" s="262"/>
      <c r="AP8" s="262"/>
      <c r="AQ8" s="262"/>
      <c r="AR8" s="307" t="str">
        <f>_xlfn.XLOOKUP(H8,Tabela6[Nome Completo],Tabela6[Telefone],"",0)</f>
        <v>(85) 9.8109-8447</v>
      </c>
      <c r="AS8" s="307"/>
      <c r="AT8" s="307"/>
      <c r="AU8" s="307"/>
      <c r="AV8" s="307"/>
      <c r="AW8" s="307"/>
      <c r="AX8" s="307"/>
      <c r="AY8" s="307"/>
    </row>
    <row r="9" spans="2:58" ht="15.75" thickTop="1" thickBot="1" x14ac:dyDescent="0.25">
      <c r="B9" s="262" t="s">
        <v>10</v>
      </c>
      <c r="C9" s="262"/>
      <c r="D9" s="262"/>
      <c r="E9" s="262"/>
      <c r="F9" s="262"/>
      <c r="G9" s="262"/>
      <c r="H9" s="233" t="s">
        <v>11</v>
      </c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  <c r="AA9" s="306" t="s">
        <v>8</v>
      </c>
      <c r="AB9" s="306"/>
      <c r="AC9" s="306"/>
      <c r="AD9" s="306"/>
      <c r="AE9" s="306"/>
      <c r="AF9" s="306"/>
      <c r="AG9" s="229">
        <f>_xlfn.XLOOKUP(H9,Tabela6[Nome Completo],Tabela6[Matrícula SAP/ Documento],"",0)</f>
        <v>329170</v>
      </c>
      <c r="AH9" s="230"/>
      <c r="AI9" s="230"/>
      <c r="AJ9" s="230"/>
      <c r="AK9" s="230"/>
      <c r="AL9" s="230"/>
      <c r="AM9" s="230"/>
      <c r="AN9" s="262" t="s">
        <v>9</v>
      </c>
      <c r="AO9" s="262"/>
      <c r="AP9" s="262"/>
      <c r="AQ9" s="262"/>
      <c r="AR9" s="307" t="str">
        <f>_xlfn.XLOOKUP(H9,Tabela6[Nome Completo],Tabela6[Telefone],"",0)</f>
        <v>(85) 9.8907-2573</v>
      </c>
      <c r="AS9" s="307"/>
      <c r="AT9" s="307"/>
      <c r="AU9" s="307"/>
      <c r="AV9" s="307"/>
      <c r="AW9" s="307"/>
      <c r="AX9" s="307"/>
      <c r="AY9" s="307"/>
    </row>
    <row r="10" spans="2:58" ht="15.75" hidden="1" customHeight="1" thickTop="1" thickBot="1" x14ac:dyDescent="0.25">
      <c r="B10" s="262" t="s">
        <v>12</v>
      </c>
      <c r="C10" s="262"/>
      <c r="D10" s="262"/>
      <c r="E10" s="262"/>
      <c r="F10" s="262"/>
      <c r="G10" s="262"/>
      <c r="H10" s="233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306" t="s">
        <v>8</v>
      </c>
      <c r="AB10" s="306"/>
      <c r="AC10" s="306"/>
      <c r="AD10" s="306"/>
      <c r="AE10" s="306"/>
      <c r="AF10" s="306"/>
      <c r="AG10" s="229" t="str">
        <f>_xlfn.XLOOKUP(H10,Tabela6[Nome Completo],Tabela6[Matrícula SAP/ Documento],"",0)</f>
        <v/>
      </c>
      <c r="AH10" s="230"/>
      <c r="AI10" s="230"/>
      <c r="AJ10" s="230"/>
      <c r="AK10" s="230"/>
      <c r="AL10" s="230"/>
      <c r="AM10" s="230"/>
      <c r="AN10" s="262" t="s">
        <v>9</v>
      </c>
      <c r="AO10" s="262"/>
      <c r="AP10" s="262"/>
      <c r="AQ10" s="262"/>
      <c r="AR10" s="307" t="str">
        <f>_xlfn.XLOOKUP(H10,Tabela6[Nome Completo],Tabela6[Telefone],"",0)</f>
        <v/>
      </c>
      <c r="AS10" s="307"/>
      <c r="AT10" s="307"/>
      <c r="AU10" s="307"/>
      <c r="AV10" s="307"/>
      <c r="AW10" s="307"/>
      <c r="AX10" s="307"/>
      <c r="AY10" s="307"/>
    </row>
    <row r="11" spans="2:58" ht="15.75" hidden="1" customHeight="1" thickTop="1" thickBot="1" x14ac:dyDescent="0.25">
      <c r="B11" s="262" t="s">
        <v>13</v>
      </c>
      <c r="C11" s="262"/>
      <c r="D11" s="262"/>
      <c r="E11" s="262"/>
      <c r="F11" s="262"/>
      <c r="G11" s="262"/>
      <c r="H11" s="233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  <c r="AA11" s="306" t="s">
        <v>8</v>
      </c>
      <c r="AB11" s="306"/>
      <c r="AC11" s="306"/>
      <c r="AD11" s="306"/>
      <c r="AE11" s="306"/>
      <c r="AF11" s="306"/>
      <c r="AG11" s="229" t="str">
        <f>_xlfn.XLOOKUP(H11,Tabela6[Nome Completo],Tabela6[Matrícula SAP/ Documento],"",0)</f>
        <v/>
      </c>
      <c r="AH11" s="230"/>
      <c r="AI11" s="230"/>
      <c r="AJ11" s="230"/>
      <c r="AK11" s="230"/>
      <c r="AL11" s="230"/>
      <c r="AM11" s="230"/>
      <c r="AN11" s="262" t="s">
        <v>9</v>
      </c>
      <c r="AO11" s="262"/>
      <c r="AP11" s="262"/>
      <c r="AQ11" s="262"/>
      <c r="AR11" s="307" t="str">
        <f>_xlfn.XLOOKUP(H11,Tabela6[Nome Completo],Tabela6[Telefone],"",0)</f>
        <v/>
      </c>
      <c r="AS11" s="307"/>
      <c r="AT11" s="307"/>
      <c r="AU11" s="307"/>
      <c r="AV11" s="307"/>
      <c r="AW11" s="307"/>
      <c r="AX11" s="307"/>
      <c r="AY11" s="307"/>
    </row>
    <row r="12" spans="2:58" ht="15.75" hidden="1" customHeight="1" thickTop="1" thickBot="1" x14ac:dyDescent="0.25">
      <c r="B12" s="262" t="s">
        <v>14</v>
      </c>
      <c r="C12" s="262"/>
      <c r="D12" s="262"/>
      <c r="E12" s="262"/>
      <c r="F12" s="262"/>
      <c r="G12" s="262"/>
      <c r="H12" s="233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306" t="s">
        <v>8</v>
      </c>
      <c r="AB12" s="306"/>
      <c r="AC12" s="306"/>
      <c r="AD12" s="306"/>
      <c r="AE12" s="306"/>
      <c r="AF12" s="306"/>
      <c r="AG12" s="229" t="str">
        <f>_xlfn.XLOOKUP(H12,Tabela6[Nome Completo],Tabela6[Matrícula SAP/ Documento],"",0)</f>
        <v/>
      </c>
      <c r="AH12" s="230"/>
      <c r="AI12" s="230"/>
      <c r="AJ12" s="230"/>
      <c r="AK12" s="230"/>
      <c r="AL12" s="230"/>
      <c r="AM12" s="230"/>
      <c r="AN12" s="262" t="s">
        <v>9</v>
      </c>
      <c r="AO12" s="262"/>
      <c r="AP12" s="262"/>
      <c r="AQ12" s="262"/>
      <c r="AR12" s="307" t="str">
        <f>_xlfn.XLOOKUP(H12,Tabela6[Nome Completo],Tabela6[Telefone],"",0)</f>
        <v/>
      </c>
      <c r="AS12" s="307"/>
      <c r="AT12" s="307"/>
      <c r="AU12" s="307"/>
      <c r="AV12" s="307"/>
      <c r="AW12" s="307"/>
      <c r="AX12" s="307"/>
      <c r="AY12" s="307"/>
    </row>
    <row r="13" spans="2:58" ht="15.75" thickTop="1" thickBot="1" x14ac:dyDescent="0.25">
      <c r="B13" s="303" t="s">
        <v>15</v>
      </c>
      <c r="C13" s="304"/>
      <c r="D13" s="304"/>
      <c r="E13" s="304"/>
      <c r="F13" s="304"/>
      <c r="G13" s="305"/>
      <c r="H13" s="333">
        <v>45996</v>
      </c>
      <c r="I13" s="333"/>
      <c r="J13" s="333"/>
      <c r="K13" s="333"/>
      <c r="L13" s="333"/>
      <c r="M13" s="333"/>
      <c r="N13" s="336">
        <v>0.41666666666666669</v>
      </c>
      <c r="O13" s="337"/>
      <c r="P13" s="338"/>
      <c r="Q13" s="89" t="s">
        <v>16</v>
      </c>
      <c r="R13" s="334">
        <v>45996</v>
      </c>
      <c r="S13" s="335"/>
      <c r="T13" s="335"/>
      <c r="U13" s="335"/>
      <c r="V13" s="335"/>
      <c r="W13" s="335"/>
      <c r="X13" s="336">
        <v>0.47916666666666669</v>
      </c>
      <c r="Y13" s="337"/>
      <c r="Z13" s="338"/>
      <c r="AA13" s="303" t="s">
        <v>17</v>
      </c>
      <c r="AB13" s="304"/>
      <c r="AC13" s="304"/>
      <c r="AD13" s="304"/>
      <c r="AE13" s="304"/>
      <c r="AF13" s="305"/>
      <c r="AG13" s="121" t="b">
        <v>0</v>
      </c>
      <c r="AH13" s="297" t="s">
        <v>18</v>
      </c>
      <c r="AI13" s="297"/>
      <c r="AJ13" s="297"/>
      <c r="AK13" s="297"/>
      <c r="AL13" s="297"/>
      <c r="AM13" s="120" t="b">
        <f>IF(AG13=TRUE,FALSE,TRUE)</f>
        <v>1</v>
      </c>
      <c r="AN13" s="297" t="s">
        <v>19</v>
      </c>
      <c r="AO13" s="297"/>
      <c r="AP13" s="297"/>
      <c r="AQ13" s="346"/>
      <c r="AR13" s="346"/>
      <c r="AS13" s="346"/>
      <c r="AT13" s="346"/>
      <c r="AU13" s="346"/>
      <c r="AV13" s="346"/>
      <c r="AW13" s="346"/>
      <c r="AX13" s="346"/>
      <c r="AY13" s="346"/>
    </row>
    <row r="14" spans="2:58" ht="13.9" customHeight="1" thickTop="1" thickBot="1" x14ac:dyDescent="0.25">
      <c r="B14" s="262" t="s">
        <v>20</v>
      </c>
      <c r="C14" s="262"/>
      <c r="D14" s="262"/>
      <c r="E14" s="262"/>
      <c r="F14" s="262"/>
      <c r="G14" s="262"/>
      <c r="H14" s="301" t="s">
        <v>21</v>
      </c>
      <c r="I14" s="301"/>
      <c r="J14" s="301"/>
      <c r="K14" s="301"/>
      <c r="L14" s="302"/>
      <c r="M14" s="303" t="s">
        <v>22</v>
      </c>
      <c r="N14" s="304"/>
      <c r="O14" s="304"/>
      <c r="P14" s="304"/>
      <c r="Q14" s="304"/>
      <c r="R14" s="305"/>
      <c r="S14" s="264" t="s">
        <v>23</v>
      </c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</row>
    <row r="15" spans="2:58" ht="36.75" customHeight="1" thickTop="1" thickBot="1" x14ac:dyDescent="0.25">
      <c r="B15" s="262" t="s">
        <v>24</v>
      </c>
      <c r="C15" s="262"/>
      <c r="D15" s="262"/>
      <c r="E15" s="262"/>
      <c r="F15" s="262"/>
      <c r="G15" s="262"/>
      <c r="H15" s="233" t="s">
        <v>25</v>
      </c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4"/>
      <c r="BE15" s="19" t="str">
        <f>H15</f>
        <v>Equipe OOTFB.C-SE, com apoio do O&amp;M BNB, realizar correção de NCT crítica* na chave 34C1-5 BNB com LT 04C1 RSD/BNB desenergizada, isolada e aterrada. *NCT crítica documentada no RIT: OOTFB.C.247.2025.</v>
      </c>
    </row>
    <row r="16" spans="2:58" ht="15.75" thickTop="1" thickBot="1" x14ac:dyDescent="0.25">
      <c r="B16" s="262" t="s">
        <v>26</v>
      </c>
      <c r="C16" s="262"/>
      <c r="D16" s="262"/>
      <c r="E16" s="262"/>
      <c r="F16" s="262"/>
      <c r="G16" s="262"/>
      <c r="H16" s="231" t="s">
        <v>27</v>
      </c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4"/>
    </row>
    <row r="17" spans="2:57" ht="128.25" customHeight="1" thickTop="1" thickBot="1" x14ac:dyDescent="0.25">
      <c r="B17" s="262"/>
      <c r="C17" s="262"/>
      <c r="D17" s="262"/>
      <c r="E17" s="262"/>
      <c r="F17" s="262"/>
      <c r="G17" s="262"/>
      <c r="H17" s="232" t="s">
        <v>28</v>
      </c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2"/>
      <c r="AX17" s="232"/>
      <c r="AY17" s="4"/>
      <c r="BE17" s="19" t="str">
        <f t="shared" ref="BE17" si="0">H17</f>
        <v>LT 04C1 BNB/RSD desenergizada, isolada e aterrada.
# Terminal de BNB:
- Disjuntor 14C1 aberto;
- Chaves seccionadoras 34C1-4 e 34C1-5 abertas e bloqueadas;
- Chave by-pass 34C1-6 aberta e bloqueada;
- Lâmina de terra 34C1-7 fechada.
# Terminal de RSD:
- Disjuntor 14C1 aberto;
- Chave seccionadora 34C1-5 aberta e bloqueada;
- Chave by-pass 34C1-6 aberta e bloqueada;
- Lâmina de terra 34C1-7 fechada.</v>
      </c>
    </row>
    <row r="18" spans="2:57" ht="15.75" thickTop="1" thickBot="1" x14ac:dyDescent="0.25">
      <c r="B18" s="262"/>
      <c r="C18" s="262"/>
      <c r="D18" s="262"/>
      <c r="E18" s="262"/>
      <c r="F18" s="262"/>
      <c r="G18" s="262"/>
      <c r="H18" s="231" t="s">
        <v>29</v>
      </c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4"/>
      <c r="BE18" s="19" t="str">
        <f t="shared" ref="BE18:BE24" si="1">H18</f>
        <v xml:space="preserve">Durante: </v>
      </c>
    </row>
    <row r="19" spans="2:57" ht="15.75" thickTop="1" thickBot="1" x14ac:dyDescent="0.25">
      <c r="B19" s="262"/>
      <c r="C19" s="262"/>
      <c r="D19" s="262"/>
      <c r="E19" s="262"/>
      <c r="F19" s="262"/>
      <c r="G19" s="262"/>
      <c r="H19" s="232" t="s">
        <v>30</v>
      </c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4"/>
      <c r="BE19" s="19" t="str">
        <f t="shared" si="1"/>
        <v>A chave seccionadora 34C1-5 BNB será manobrada durante a intervenção.</v>
      </c>
    </row>
    <row r="20" spans="2:57" ht="15.75" thickTop="1" thickBot="1" x14ac:dyDescent="0.25">
      <c r="B20" s="262"/>
      <c r="C20" s="262"/>
      <c r="D20" s="262"/>
      <c r="E20" s="262"/>
      <c r="F20" s="262"/>
      <c r="G20" s="262"/>
      <c r="H20" s="231" t="s">
        <v>31</v>
      </c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4"/>
      <c r="BE20" s="19" t="str">
        <f t="shared" si="1"/>
        <v>Devolução:</v>
      </c>
    </row>
    <row r="21" spans="2:57" ht="33" customHeight="1" thickTop="1" thickBot="1" x14ac:dyDescent="0.25">
      <c r="B21" s="262"/>
      <c r="C21" s="262"/>
      <c r="D21" s="262"/>
      <c r="E21" s="262"/>
      <c r="F21" s="262"/>
      <c r="G21" s="262"/>
      <c r="H21" s="232" t="s">
        <v>32</v>
      </c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2"/>
      <c r="AX21" s="232"/>
      <c r="AY21" s="4"/>
      <c r="BE21" s="19" t="str">
        <f t="shared" si="1"/>
        <v>A chave 34C1-5 BNB pode ser devolvida fechada.
Após a conclusão das atividades, a LT 04C1-BNB/RSD será energizada em teste antes da devolução para o ONS.</v>
      </c>
    </row>
    <row r="22" spans="2:57" ht="15.75" thickTop="1" thickBot="1" x14ac:dyDescent="0.25">
      <c r="B22" s="262" t="s">
        <v>33</v>
      </c>
      <c r="C22" s="262"/>
      <c r="D22" s="262"/>
      <c r="E22" s="262"/>
      <c r="F22" s="262"/>
      <c r="G22" s="262"/>
      <c r="H22" s="232" t="s">
        <v>34</v>
      </c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2"/>
      <c r="AX22" s="232"/>
      <c r="AY22" s="4"/>
      <c r="BE22" s="19" t="str">
        <f t="shared" si="1"/>
        <v>Durante a intervenção serão instalados os seguintes aterramentos móveis temporários:</v>
      </c>
    </row>
    <row r="23" spans="2:57" ht="28.5" thickTop="1" thickBot="1" x14ac:dyDescent="0.25">
      <c r="B23" s="262"/>
      <c r="C23" s="262"/>
      <c r="D23" s="262"/>
      <c r="E23" s="262"/>
      <c r="F23" s="262"/>
      <c r="G23" s="262"/>
      <c r="H23" s="263" t="s">
        <v>35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4"/>
      <c r="BE23" s="19" t="str">
        <f t="shared" si="1"/>
        <v>- Nos pulos de interligação entre 34C1-5 e 94C1 (fases ABC);
- Nos pulos de interligação entre 34C1-5 e 14C1 (fases ABC);</v>
      </c>
    </row>
    <row r="24" spans="2:57" ht="15.75" thickTop="1" thickBot="1" x14ac:dyDescent="0.25">
      <c r="B24" s="262"/>
      <c r="C24" s="262"/>
      <c r="D24" s="262"/>
      <c r="E24" s="262"/>
      <c r="F24" s="262"/>
      <c r="G24" s="262"/>
      <c r="H24" s="232" t="s">
        <v>36</v>
      </c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4"/>
      <c r="BE24" s="19" t="str">
        <f t="shared" si="1"/>
        <v>Total: 06 unidades</v>
      </c>
    </row>
    <row r="25" spans="2:57" ht="15.75" thickTop="1" thickBot="1" x14ac:dyDescent="0.25">
      <c r="B25" s="293" t="s">
        <v>37</v>
      </c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4"/>
      <c r="BE25" s="19">
        <f>I25</f>
        <v>0</v>
      </c>
    </row>
    <row r="26" spans="2:57" ht="15.75" thickTop="1" thickBot="1" x14ac:dyDescent="0.25">
      <c r="B26" s="21"/>
      <c r="C26" s="294" t="s">
        <v>38</v>
      </c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BE26" s="19" t="str">
        <f t="shared" ref="BE26:BE35" si="2">C26</f>
        <v>1. Verificação das Configurações Prévias à Intervenção</v>
      </c>
    </row>
    <row r="27" spans="2:57" ht="26.25" customHeight="1" thickTop="1" thickBot="1" x14ac:dyDescent="0.25">
      <c r="B27" s="21"/>
      <c r="C27" s="295" t="s">
        <v>39</v>
      </c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  <c r="AX27" s="295"/>
      <c r="BE27" s="19" t="str">
        <f t="shared" si="2"/>
        <v>As configurações necessárias para a intervenção estão descritas na "SI" e devem ser confirmadas por todos os envolvidos durante o recebimento (condições das chaves, disjuntores, pontos de aterramento, etc);</v>
      </c>
    </row>
    <row r="28" spans="2:57" ht="15.75" thickTop="1" thickBot="1" x14ac:dyDescent="0.25">
      <c r="B28" s="21"/>
      <c r="C28" s="294" t="s">
        <v>40</v>
      </c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4"/>
      <c r="BE28" s="19" t="str">
        <f t="shared" si="2"/>
        <v>2. Atenção à Distância de Segurança (D)</v>
      </c>
    </row>
    <row r="29" spans="2:57" ht="26.25" customHeight="1" thickTop="1" thickBot="1" x14ac:dyDescent="0.25">
      <c r="B29" s="21"/>
      <c r="C29" s="295" t="s">
        <v>41</v>
      </c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BE29" s="19" t="str">
        <f t="shared" si="2"/>
        <v>É o afastamento mínimo no ar entre o trabalhador (ou suas ferramentas/instrumentos) e a parte energizada, de forma a evitar risco de descarga elétrica.</v>
      </c>
    </row>
    <row r="30" spans="2:57" ht="15.75" thickTop="1" thickBot="1" x14ac:dyDescent="0.25">
      <c r="B30" s="21"/>
      <c r="C30" s="295" t="s">
        <v>42</v>
      </c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BE30" s="19" t="str">
        <f t="shared" si="2"/>
        <v>É calculada pela fórmula: D = d1 + d2</v>
      </c>
    </row>
    <row r="31" spans="2:57" ht="15" customHeight="1" thickTop="1" thickBot="1" x14ac:dyDescent="0.25">
      <c r="B31" s="21"/>
      <c r="C31" s="295" t="s">
        <v>43</v>
      </c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BE31" s="19" t="str">
        <f t="shared" si="2"/>
        <v>Onde:</v>
      </c>
    </row>
    <row r="32" spans="2:57" ht="26.25" customHeight="1" thickTop="1" thickBot="1" x14ac:dyDescent="0.25">
      <c r="B32" s="21"/>
      <c r="C32" s="296" t="s">
        <v>44</v>
      </c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BE32" s="85" t="str">
        <f t="shared" si="2"/>
        <v>d1 = Distância de Segurança Básica ou Valor de Base Menor distância em qualquer direção, entre executante dos trabalhos, inclusive suas ferramentas, e o ponto energizado mais próximo (tabela do Anexo I da NM-MN-SE-S.002).</v>
      </c>
    </row>
    <row r="33" spans="2:58" ht="26.25" customHeight="1" thickTop="1" thickBot="1" x14ac:dyDescent="0.25">
      <c r="B33" s="21"/>
      <c r="C33" s="296" t="s">
        <v>45</v>
      </c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BE33" s="85" t="str">
        <f t="shared" si="2"/>
        <v>d2 = Distância de Segurança Variável: Distância requerida para movimentação do pessoal manipulando instrumentos ou ferramentas, sem invadir a distância d1.</v>
      </c>
    </row>
    <row r="34" spans="2:58" ht="15.75" thickTop="1" thickBot="1" x14ac:dyDescent="0.25">
      <c r="B34" s="21"/>
      <c r="C34" s="310" t="s">
        <v>46</v>
      </c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BE34" s="19" t="str">
        <f t="shared" si="2"/>
        <v>Observação Importante:</v>
      </c>
    </row>
    <row r="35" spans="2:58" ht="26.25" customHeight="1" thickTop="1" x14ac:dyDescent="0.2">
      <c r="B35" s="4"/>
      <c r="C35" s="311" t="s">
        <v>47</v>
      </c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BE35" s="19" t="str">
        <f t="shared" si="2"/>
        <v>Devido à imprecisão dos movimentos humanos, recomenda-se acrescentar uma margem de segurança de pelo menos 50% sobre o valor de d2.</v>
      </c>
    </row>
    <row r="36" spans="2:58" x14ac:dyDescent="0.2">
      <c r="B36" s="4"/>
      <c r="C36" s="4"/>
      <c r="D36" s="4"/>
      <c r="E36" s="4"/>
      <c r="F36" s="4"/>
      <c r="G36" s="300" t="s">
        <v>48</v>
      </c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 t="s">
        <v>49</v>
      </c>
      <c r="U36" s="300"/>
      <c r="V36" s="300"/>
      <c r="W36" s="300"/>
      <c r="X36" s="300"/>
      <c r="Y36" s="300"/>
      <c r="Z36" s="300"/>
      <c r="AA36" s="300"/>
      <c r="AB36" s="300" t="s">
        <v>50</v>
      </c>
      <c r="AC36" s="300"/>
      <c r="AD36" s="300"/>
      <c r="AE36" s="300"/>
      <c r="AF36" s="300"/>
      <c r="AG36" s="300"/>
      <c r="AH36" s="300"/>
      <c r="AI36" s="300"/>
      <c r="AJ36" s="235" t="s">
        <v>51</v>
      </c>
      <c r="AK36" s="236"/>
      <c r="AL36" s="236"/>
      <c r="AM36" s="236"/>
      <c r="AN36" s="236"/>
      <c r="AO36" s="236"/>
      <c r="AP36" s="236"/>
      <c r="AQ36" s="237"/>
      <c r="AR36" s="9"/>
      <c r="AS36" s="9"/>
      <c r="AV36" s="8"/>
      <c r="AW36" s="8"/>
      <c r="AX36" s="2"/>
      <c r="AY36" s="2"/>
      <c r="AZ36" s="3"/>
      <c r="BA36" s="3"/>
      <c r="BB36" s="3"/>
      <c r="BD36" s="2"/>
      <c r="BE36" s="2"/>
      <c r="BF36" s="2"/>
    </row>
    <row r="37" spans="2:58" x14ac:dyDescent="0.2">
      <c r="B37" s="4"/>
      <c r="C37" s="4"/>
      <c r="D37" s="4"/>
      <c r="E37" s="4"/>
      <c r="F37" s="4"/>
      <c r="G37" s="313" t="s">
        <v>52</v>
      </c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299">
        <v>0.65</v>
      </c>
      <c r="U37" s="299"/>
      <c r="V37" s="299"/>
      <c r="W37" s="299"/>
      <c r="X37" s="299"/>
      <c r="Y37" s="299"/>
      <c r="Z37" s="299"/>
      <c r="AA37" s="299"/>
      <c r="AB37" s="299">
        <v>1.65</v>
      </c>
      <c r="AC37" s="299"/>
      <c r="AD37" s="299"/>
      <c r="AE37" s="299"/>
      <c r="AF37" s="299"/>
      <c r="AG37" s="299"/>
      <c r="AH37" s="299"/>
      <c r="AI37" s="299"/>
      <c r="AJ37" s="238">
        <v>2.2999999999999998</v>
      </c>
      <c r="AK37" s="239"/>
      <c r="AL37" s="239"/>
      <c r="AM37" s="239"/>
      <c r="AN37" s="239"/>
      <c r="AO37" s="239"/>
      <c r="AP37" s="239"/>
      <c r="AQ37" s="240"/>
      <c r="AR37" s="9"/>
      <c r="AS37" s="9"/>
      <c r="AV37" s="8"/>
      <c r="AW37" s="8"/>
      <c r="AX37" s="2"/>
      <c r="AY37" s="2"/>
      <c r="AZ37" s="3"/>
      <c r="BA37" s="3"/>
      <c r="BB37" s="3"/>
      <c r="BD37" s="2"/>
      <c r="BE37" s="2"/>
      <c r="BF37" s="2"/>
    </row>
    <row r="38" spans="2:58" x14ac:dyDescent="0.2">
      <c r="B38" s="4"/>
      <c r="C38" s="4"/>
      <c r="D38" s="4"/>
      <c r="E38" s="4"/>
      <c r="F38" s="4"/>
      <c r="G38" s="314" t="s">
        <v>53</v>
      </c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299">
        <v>0.95</v>
      </c>
      <c r="U38" s="299"/>
      <c r="V38" s="299"/>
      <c r="W38" s="299"/>
      <c r="X38" s="299"/>
      <c r="Y38" s="299"/>
      <c r="Z38" s="299"/>
      <c r="AA38" s="299"/>
      <c r="AB38" s="299">
        <v>1.65</v>
      </c>
      <c r="AC38" s="299"/>
      <c r="AD38" s="299"/>
      <c r="AE38" s="299"/>
      <c r="AF38" s="299"/>
      <c r="AG38" s="299"/>
      <c r="AH38" s="299"/>
      <c r="AI38" s="299"/>
      <c r="AJ38" s="238">
        <v>2.6</v>
      </c>
      <c r="AK38" s="239"/>
      <c r="AL38" s="239"/>
      <c r="AM38" s="239"/>
      <c r="AN38" s="239"/>
      <c r="AO38" s="239"/>
      <c r="AP38" s="239"/>
      <c r="AQ38" s="240"/>
      <c r="AR38" s="9"/>
      <c r="AS38" s="9"/>
      <c r="AV38" s="8"/>
      <c r="AW38" s="8"/>
      <c r="AX38" s="2"/>
      <c r="AY38" s="2"/>
      <c r="AZ38" s="3"/>
      <c r="BA38" s="3"/>
      <c r="BB38" s="3"/>
      <c r="BD38" s="2"/>
      <c r="BE38" s="2"/>
      <c r="BF38" s="2"/>
    </row>
    <row r="39" spans="2:58" x14ac:dyDescent="0.2">
      <c r="B39" s="4"/>
      <c r="C39" s="4"/>
      <c r="D39" s="4"/>
      <c r="E39" s="4"/>
      <c r="F39" s="4"/>
      <c r="G39" s="315" t="s">
        <v>54</v>
      </c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299">
        <v>1.55</v>
      </c>
      <c r="U39" s="299"/>
      <c r="V39" s="299"/>
      <c r="W39" s="299"/>
      <c r="X39" s="299"/>
      <c r="Y39" s="299"/>
      <c r="Z39" s="299"/>
      <c r="AA39" s="299"/>
      <c r="AB39" s="299">
        <v>1.65</v>
      </c>
      <c r="AC39" s="299"/>
      <c r="AD39" s="299"/>
      <c r="AE39" s="299"/>
      <c r="AF39" s="299"/>
      <c r="AG39" s="299"/>
      <c r="AH39" s="299"/>
      <c r="AI39" s="299"/>
      <c r="AJ39" s="238">
        <v>3.2</v>
      </c>
      <c r="AK39" s="239"/>
      <c r="AL39" s="239"/>
      <c r="AM39" s="239"/>
      <c r="AN39" s="239"/>
      <c r="AO39" s="239"/>
      <c r="AP39" s="239"/>
      <c r="AQ39" s="240"/>
      <c r="AR39" s="9"/>
      <c r="AS39" s="9"/>
      <c r="AV39" s="8"/>
      <c r="AW39" s="8"/>
      <c r="AX39" s="2"/>
      <c r="AY39" s="2"/>
      <c r="AZ39" s="3"/>
      <c r="BA39" s="3"/>
      <c r="BB39" s="3"/>
      <c r="BD39" s="2"/>
      <c r="BE39" s="2"/>
      <c r="BF39" s="2"/>
    </row>
    <row r="40" spans="2:58" x14ac:dyDescent="0.2">
      <c r="B40" s="4"/>
      <c r="C40" s="4"/>
      <c r="D40" s="4"/>
      <c r="E40" s="4"/>
      <c r="F40" s="4"/>
      <c r="G40" s="316" t="s">
        <v>55</v>
      </c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299">
        <v>3.4</v>
      </c>
      <c r="U40" s="299"/>
      <c r="V40" s="299"/>
      <c r="W40" s="299"/>
      <c r="X40" s="299"/>
      <c r="Y40" s="299"/>
      <c r="Z40" s="299"/>
      <c r="AA40" s="299"/>
      <c r="AB40" s="299">
        <v>1.65</v>
      </c>
      <c r="AC40" s="299"/>
      <c r="AD40" s="299"/>
      <c r="AE40" s="299"/>
      <c r="AF40" s="299"/>
      <c r="AG40" s="299"/>
      <c r="AH40" s="299"/>
      <c r="AI40" s="299"/>
      <c r="AJ40" s="238">
        <v>5.05</v>
      </c>
      <c r="AK40" s="239"/>
      <c r="AL40" s="239"/>
      <c r="AM40" s="239"/>
      <c r="AN40" s="239"/>
      <c r="AO40" s="239"/>
      <c r="AP40" s="239"/>
      <c r="AQ40" s="240"/>
      <c r="AR40" s="9"/>
      <c r="AS40" s="9"/>
      <c r="AV40" s="8"/>
      <c r="AW40" s="8"/>
      <c r="AX40" s="2"/>
      <c r="AY40" s="2"/>
      <c r="AZ40" s="3"/>
      <c r="BA40" s="3"/>
      <c r="BB40" s="3"/>
      <c r="BD40" s="2"/>
      <c r="BE40" s="2"/>
      <c r="BF40" s="2"/>
    </row>
    <row r="41" spans="2:58" x14ac:dyDescent="0.2">
      <c r="D41" s="4"/>
      <c r="E41" s="4"/>
      <c r="F41" s="4"/>
      <c r="G41" s="4"/>
      <c r="H41" s="4"/>
      <c r="I41" s="4"/>
      <c r="J41" s="4"/>
    </row>
    <row r="42" spans="2:58" x14ac:dyDescent="0.2">
      <c r="B42" s="225" t="s">
        <v>56</v>
      </c>
      <c r="C42" s="226"/>
      <c r="D42" s="227" t="s">
        <v>57</v>
      </c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8"/>
    </row>
    <row r="43" spans="2:58" ht="7.5" customHeight="1" x14ac:dyDescent="0.2">
      <c r="B43" s="292"/>
      <c r="C43" s="292"/>
      <c r="D43" s="292"/>
      <c r="E43" s="292"/>
      <c r="F43" s="292"/>
      <c r="G43" s="292"/>
      <c r="H43" s="292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</row>
    <row r="44" spans="2:58" x14ac:dyDescent="0.2">
      <c r="B44" s="278" t="s">
        <v>58</v>
      </c>
      <c r="C44" s="278"/>
      <c r="D44" s="278"/>
      <c r="E44" s="278"/>
      <c r="F44" s="278"/>
      <c r="G44" s="278"/>
      <c r="H44" s="278"/>
      <c r="I44" s="278" t="s">
        <v>59</v>
      </c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  <c r="AM44" s="278"/>
      <c r="AN44" s="278"/>
      <c r="AO44" s="278"/>
      <c r="AP44" s="278"/>
      <c r="AQ44" s="278"/>
      <c r="AR44" s="278"/>
      <c r="AS44" s="278"/>
      <c r="AT44" s="278"/>
      <c r="AU44" s="278"/>
      <c r="AV44" s="278"/>
      <c r="AW44" s="278"/>
      <c r="AX44" s="278"/>
      <c r="AY44" s="278"/>
      <c r="BD44" s="11" t="str">
        <f t="shared" ref="BD44:BD73" si="3">B44</f>
        <v>Categoria</v>
      </c>
      <c r="BE44" s="12" t="str">
        <f t="shared" ref="BE44:BE73" si="4">I44</f>
        <v>Instruções / Detalhes</v>
      </c>
      <c r="BF44" s="4"/>
    </row>
    <row r="45" spans="2:58" ht="15" customHeight="1" x14ac:dyDescent="0.2">
      <c r="B45" s="289" t="s">
        <v>60</v>
      </c>
      <c r="C45" s="289"/>
      <c r="D45" s="289"/>
      <c r="E45" s="289"/>
      <c r="F45" s="289"/>
      <c r="G45" s="289"/>
      <c r="H45" s="289"/>
      <c r="I45" s="250" t="s">
        <v>61</v>
      </c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BD45" s="298" t="str">
        <f t="shared" si="3"/>
        <v>Responsabilidade do Encarregado</v>
      </c>
      <c r="BE45" s="13" t="str">
        <f>I45</f>
        <v>▪ Avaliar o nível de prontidão física e emocional de todos os membros da equipe antes do início dos trabalhos;</v>
      </c>
      <c r="BF45" s="1"/>
    </row>
    <row r="46" spans="2:58" ht="15" customHeight="1" x14ac:dyDescent="0.2">
      <c r="B46" s="289"/>
      <c r="C46" s="289"/>
      <c r="D46" s="289"/>
      <c r="E46" s="289"/>
      <c r="F46" s="289"/>
      <c r="G46" s="289"/>
      <c r="H46" s="289"/>
      <c r="I46" s="250" t="s">
        <v>62</v>
      </c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BD46" s="298"/>
      <c r="BE46" s="13" t="str">
        <f t="shared" si="4"/>
        <v>▪ Discutir com a equipe os procedimentos a serem adotados;</v>
      </c>
      <c r="BF46" s="1"/>
    </row>
    <row r="47" spans="2:58" ht="26.25" customHeight="1" x14ac:dyDescent="0.2">
      <c r="B47" s="289"/>
      <c r="C47" s="289"/>
      <c r="D47" s="289"/>
      <c r="E47" s="289"/>
      <c r="F47" s="289"/>
      <c r="G47" s="289"/>
      <c r="H47" s="289"/>
      <c r="I47" s="250" t="s">
        <v>63</v>
      </c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BD47" s="298"/>
      <c r="BE47" s="13" t="str">
        <f>I47</f>
        <v>▪ O Encarregado da equipe deve manter em tempo integral a supervisão da atividade. Caso essa supervisão seja interrompida, o encarregado deve paralisar a atividade, comunicando a toda a equipe de forma verbal e incisiva;</v>
      </c>
      <c r="BF47" s="1"/>
    </row>
    <row r="48" spans="2:58" ht="15" customHeight="1" x14ac:dyDescent="0.2">
      <c r="B48" s="289"/>
      <c r="C48" s="289"/>
      <c r="D48" s="289"/>
      <c r="E48" s="289"/>
      <c r="F48" s="289"/>
      <c r="G48" s="289"/>
      <c r="H48" s="289"/>
      <c r="I48" s="250" t="s">
        <v>64</v>
      </c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BD48" s="298"/>
      <c r="BE48" s="14" t="str">
        <f t="shared" si="4"/>
        <v>▪ Todos os movimentos e ações devem ser precedidos da voz de comando do Encarregado da equipe executiva.</v>
      </c>
      <c r="BF48" s="1"/>
    </row>
    <row r="49" spans="2:58" ht="15" customHeight="1" x14ac:dyDescent="0.2">
      <c r="B49" s="289" t="s">
        <v>65</v>
      </c>
      <c r="C49" s="289"/>
      <c r="D49" s="289"/>
      <c r="E49" s="289"/>
      <c r="F49" s="289"/>
      <c r="G49" s="289"/>
      <c r="H49" s="289"/>
      <c r="I49" s="250" t="s">
        <v>66</v>
      </c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BD49" s="298" t="str">
        <f t="shared" si="3"/>
        <v>Antes do Início dos Trabalhos</v>
      </c>
      <c r="BE49" s="13" t="str">
        <f t="shared" si="4"/>
        <v>▪ Realizar o checklist dos maquinários e veículos utilizados, usando o APP disponibilizado pelo setor de frota.</v>
      </c>
      <c r="BF49" s="1"/>
    </row>
    <row r="50" spans="2:58" ht="15" customHeight="1" x14ac:dyDescent="0.2">
      <c r="B50" s="289"/>
      <c r="C50" s="289"/>
      <c r="D50" s="289"/>
      <c r="E50" s="289"/>
      <c r="F50" s="289"/>
      <c r="G50" s="289"/>
      <c r="H50" s="289"/>
      <c r="I50" s="250" t="s">
        <v>67</v>
      </c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BD50" s="298"/>
      <c r="BE50" s="13" t="str">
        <f t="shared" si="4"/>
        <v>▪ Verificar integridade de materiais, EPIs e EPCs;</v>
      </c>
      <c r="BF50" s="1"/>
    </row>
    <row r="51" spans="2:58" ht="15" customHeight="1" x14ac:dyDescent="0.2">
      <c r="B51" s="289"/>
      <c r="C51" s="289"/>
      <c r="D51" s="289"/>
      <c r="E51" s="289"/>
      <c r="F51" s="289"/>
      <c r="G51" s="289"/>
      <c r="H51" s="289"/>
      <c r="I51" s="250" t="s">
        <v>68</v>
      </c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BD51" s="298"/>
      <c r="BE51" s="13" t="str">
        <f t="shared" si="4"/>
        <v>▪ Garantir kit de primeiros socorros disponível;</v>
      </c>
      <c r="BF51" s="1"/>
    </row>
    <row r="52" spans="2:58" ht="15" customHeight="1" x14ac:dyDescent="0.2">
      <c r="B52" s="289"/>
      <c r="C52" s="289"/>
      <c r="D52" s="289"/>
      <c r="E52" s="289"/>
      <c r="F52" s="289"/>
      <c r="G52" s="289"/>
      <c r="H52" s="289"/>
      <c r="I52" s="250" t="s">
        <v>69</v>
      </c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BD52" s="298"/>
      <c r="BE52" s="13" t="str">
        <f t="shared" si="4"/>
        <v>▪ Verificar condições físicas e emocionais de todos os participantes para perfeita execução das atividades;</v>
      </c>
      <c r="BF52" s="1"/>
    </row>
    <row r="53" spans="2:58" ht="26.25" customHeight="1" x14ac:dyDescent="0.2">
      <c r="B53" s="289"/>
      <c r="C53" s="289"/>
      <c r="D53" s="289"/>
      <c r="E53" s="289"/>
      <c r="F53" s="289"/>
      <c r="G53" s="289"/>
      <c r="H53" s="289"/>
      <c r="I53" s="250" t="s">
        <v>70</v>
      </c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BD53" s="298"/>
      <c r="BE53" s="14" t="str">
        <f t="shared" si="4"/>
        <v>▪ Posicionar veículo para atendimento à acidentados afastados do local de trabalho, com fácil acesso à pista de saída da instalação.</v>
      </c>
      <c r="BF53" s="1"/>
    </row>
    <row r="54" spans="2:58" ht="15" customHeight="1" x14ac:dyDescent="0.2">
      <c r="B54" s="289" t="s">
        <v>71</v>
      </c>
      <c r="C54" s="289"/>
      <c r="D54" s="289"/>
      <c r="E54" s="289"/>
      <c r="F54" s="289"/>
      <c r="G54" s="289"/>
      <c r="H54" s="289"/>
      <c r="I54" s="250" t="s">
        <v>72</v>
      </c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BD54" s="298" t="str">
        <f t="shared" si="3"/>
        <v>Durante a Execução</v>
      </c>
      <c r="BE54" s="13" t="str">
        <f t="shared" si="4"/>
        <v>▪ Seguir comandos claros e diretos do Encarregado;</v>
      </c>
      <c r="BF54" s="1"/>
    </row>
    <row r="55" spans="2:58" ht="15" customHeight="1" x14ac:dyDescent="0.2">
      <c r="B55" s="289"/>
      <c r="C55" s="289"/>
      <c r="D55" s="289"/>
      <c r="E55" s="289"/>
      <c r="F55" s="289"/>
      <c r="G55" s="289"/>
      <c r="H55" s="289"/>
      <c r="I55" s="250" t="s">
        <v>73</v>
      </c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BD55" s="298"/>
      <c r="BE55" s="13" t="str">
        <f t="shared" si="4"/>
        <v>▪ Usar corretamente os EPIs e EPCs, especialmente durante escaladas (conforme IM-MN-LT-M.080);</v>
      </c>
      <c r="BF55" s="1"/>
    </row>
    <row r="56" spans="2:58" ht="15" customHeight="1" x14ac:dyDescent="0.2">
      <c r="B56" s="289"/>
      <c r="C56" s="289"/>
      <c r="D56" s="289"/>
      <c r="E56" s="289"/>
      <c r="F56" s="289"/>
      <c r="G56" s="289"/>
      <c r="H56" s="289"/>
      <c r="I56" s="250" t="s">
        <v>74</v>
      </c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BD56" s="298"/>
      <c r="BE56" s="13" t="str">
        <f t="shared" si="4"/>
        <v>▪ Evitar quedas de ferramentas e materiais em altura;</v>
      </c>
      <c r="BF56" s="1"/>
    </row>
    <row r="57" spans="2:58" ht="15" customHeight="1" x14ac:dyDescent="0.2">
      <c r="B57" s="289"/>
      <c r="C57" s="289"/>
      <c r="D57" s="289"/>
      <c r="E57" s="289"/>
      <c r="F57" s="289"/>
      <c r="G57" s="289"/>
      <c r="H57" s="289"/>
      <c r="I57" s="250" t="s">
        <v>75</v>
      </c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BD57" s="298"/>
      <c r="BE57" s="13" t="str">
        <f t="shared" si="4"/>
        <v>▪ Manter o foco: não fumar, não usar adornos, evitar conversas paralelas;</v>
      </c>
      <c r="BF57" s="1"/>
    </row>
    <row r="58" spans="2:58" ht="15" customHeight="1" x14ac:dyDescent="0.2">
      <c r="B58" s="289"/>
      <c r="C58" s="289"/>
      <c r="D58" s="289"/>
      <c r="E58" s="289"/>
      <c r="F58" s="289"/>
      <c r="G58" s="289"/>
      <c r="H58" s="289"/>
      <c r="I58" s="250" t="s">
        <v>76</v>
      </c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BD58" s="298"/>
      <c r="BE58" s="13" t="str">
        <f t="shared" si="4"/>
        <v>▪ Atentar-se às distâncias de segurança (NM-MN-LT-L.002);</v>
      </c>
      <c r="BF58" s="1"/>
    </row>
    <row r="59" spans="2:58" ht="15" customHeight="1" x14ac:dyDescent="0.2">
      <c r="B59" s="289"/>
      <c r="C59" s="289"/>
      <c r="D59" s="289"/>
      <c r="E59" s="289"/>
      <c r="F59" s="289"/>
      <c r="G59" s="289"/>
      <c r="H59" s="289"/>
      <c r="I59" s="250" t="s">
        <v>77</v>
      </c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BD59" s="298"/>
      <c r="BE59" s="14" t="str">
        <f t="shared" si="4"/>
        <v>▪ Cuidar da própria segurança, dos colegas e permitir que cuidem de você.</v>
      </c>
      <c r="BF59" s="1"/>
    </row>
    <row r="60" spans="2:58" ht="15" customHeight="1" x14ac:dyDescent="0.2">
      <c r="B60" s="289" t="s">
        <v>78</v>
      </c>
      <c r="C60" s="289"/>
      <c r="D60" s="289"/>
      <c r="E60" s="289"/>
      <c r="F60" s="289"/>
      <c r="G60" s="289"/>
      <c r="H60" s="289"/>
      <c r="I60" s="250" t="s">
        <v>79</v>
      </c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BD60" s="298" t="str">
        <f t="shared" si="3"/>
        <v>Movimentação Pessoas, Veículos e Máquinas</v>
      </c>
      <c r="BE60" s="13" t="str">
        <f t="shared" si="4"/>
        <v>▪ Não transpor canaletas;</v>
      </c>
      <c r="BF60" s="1"/>
    </row>
    <row r="61" spans="2:58" ht="15" customHeight="1" x14ac:dyDescent="0.2">
      <c r="B61" s="289"/>
      <c r="C61" s="289"/>
      <c r="D61" s="289"/>
      <c r="E61" s="289"/>
      <c r="F61" s="289"/>
      <c r="G61" s="289"/>
      <c r="H61" s="289"/>
      <c r="I61" s="250" t="s">
        <v>80</v>
      </c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BD61" s="298"/>
      <c r="BE61" s="13" t="str">
        <f t="shared" si="4"/>
        <v>▪ Manter distância segura de partes energizadas;</v>
      </c>
      <c r="BF61" s="1"/>
    </row>
    <row r="62" spans="2:58" ht="15" customHeight="1" x14ac:dyDescent="0.2">
      <c r="B62" s="289"/>
      <c r="C62" s="289"/>
      <c r="D62" s="289"/>
      <c r="E62" s="289"/>
      <c r="F62" s="289"/>
      <c r="G62" s="289"/>
      <c r="H62" s="289"/>
      <c r="I62" s="250" t="s">
        <v>81</v>
      </c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BD62" s="298"/>
      <c r="BE62" s="14" t="str">
        <f t="shared" si="4"/>
        <v>▪ Não pisar sobre tampas de concreto.</v>
      </c>
      <c r="BF62" s="1"/>
    </row>
    <row r="63" spans="2:58" ht="25.5" x14ac:dyDescent="0.2">
      <c r="B63" s="289" t="s">
        <v>82</v>
      </c>
      <c r="C63" s="289"/>
      <c r="D63" s="289"/>
      <c r="E63" s="289"/>
      <c r="F63" s="289"/>
      <c r="G63" s="289"/>
      <c r="H63" s="289"/>
      <c r="I63" s="250" t="s">
        <v>83</v>
      </c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BD63" s="20" t="str">
        <f t="shared" si="3"/>
        <v>Delimitação da Área de Trabalho</v>
      </c>
      <c r="BE63" s="14" t="str">
        <f t="shared" si="4"/>
        <v>▪ Sinalizar e isolar a área desenergizada com cones e fitas, conforme IN-OP.01.010.</v>
      </c>
      <c r="BF63" s="1"/>
    </row>
    <row r="64" spans="2:58" ht="25.5" x14ac:dyDescent="0.2">
      <c r="B64" s="289" t="s">
        <v>84</v>
      </c>
      <c r="C64" s="289"/>
      <c r="D64" s="289"/>
      <c r="E64" s="289"/>
      <c r="F64" s="289"/>
      <c r="G64" s="289"/>
      <c r="H64" s="289"/>
      <c r="I64" s="250" t="s">
        <v>85</v>
      </c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BD64" s="20" t="str">
        <f t="shared" si="3"/>
        <v>Troca de Profissionais</v>
      </c>
      <c r="BE64" s="14" t="str">
        <f t="shared" si="4"/>
        <v>▪ Evitar substituições durante manutenções em painéis ou equipamentos.</v>
      </c>
      <c r="BF64" s="1"/>
    </row>
    <row r="65" spans="2:58" ht="27" x14ac:dyDescent="0.2">
      <c r="B65" s="289" t="s">
        <v>86</v>
      </c>
      <c r="C65" s="289"/>
      <c r="D65" s="289"/>
      <c r="E65" s="289"/>
      <c r="F65" s="289"/>
      <c r="G65" s="289"/>
      <c r="H65" s="289"/>
      <c r="I65" s="250" t="s">
        <v>87</v>
      </c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BD65" s="20" t="str">
        <f t="shared" si="3"/>
        <v>Objetos Pessoais</v>
      </c>
      <c r="BE65" s="14" t="str">
        <f t="shared" si="4"/>
        <v>▪ Evitar o uso de itens que possam representar risco: anéis, correntes, óculos metálicos, relógios, pulseiras, celulares etc.</v>
      </c>
      <c r="BF65" s="1"/>
    </row>
    <row r="66" spans="2:58" ht="25.5" x14ac:dyDescent="0.2">
      <c r="B66" s="289" t="s">
        <v>88</v>
      </c>
      <c r="C66" s="289"/>
      <c r="D66" s="289"/>
      <c r="E66" s="289"/>
      <c r="F66" s="289"/>
      <c r="G66" s="289"/>
      <c r="H66" s="289"/>
      <c r="I66" s="250" t="s">
        <v>89</v>
      </c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BD66" s="20" t="str">
        <f t="shared" si="3"/>
        <v>Controle de Acesso</v>
      </c>
      <c r="BE66" s="14" t="str">
        <f t="shared" si="4"/>
        <v>▪ Restringir a presença de pessoas não envolvidas dentro da área de intervenção.</v>
      </c>
      <c r="BF66" s="1"/>
    </row>
    <row r="67" spans="2:58" ht="27" x14ac:dyDescent="0.2">
      <c r="B67" s="289" t="s">
        <v>90</v>
      </c>
      <c r="C67" s="289"/>
      <c r="D67" s="289"/>
      <c r="E67" s="289"/>
      <c r="F67" s="289"/>
      <c r="G67" s="289"/>
      <c r="H67" s="289"/>
      <c r="I67" s="250" t="s">
        <v>91</v>
      </c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BD67" s="20" t="str">
        <f t="shared" si="3"/>
        <v>Conduta na Área de Trabalho</v>
      </c>
      <c r="BE67" s="14" t="str">
        <f t="shared" si="4"/>
        <v>▪ Não se apoiar ou utilizar como suporte qualquer equipamento ou estrutura adjacente ao local de intervenção.</v>
      </c>
      <c r="BF67" s="1"/>
    </row>
    <row r="68" spans="2:58" x14ac:dyDescent="0.2">
      <c r="B68" s="289" t="s">
        <v>92</v>
      </c>
      <c r="C68" s="289"/>
      <c r="D68" s="289"/>
      <c r="E68" s="289"/>
      <c r="F68" s="289"/>
      <c r="G68" s="289"/>
      <c r="H68" s="289"/>
      <c r="I68" s="250" t="s">
        <v>93</v>
      </c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BD68" s="298" t="str">
        <f t="shared" si="3"/>
        <v>Regras Gerais</v>
      </c>
      <c r="BE68" s="13" t="str">
        <f t="shared" si="4"/>
        <v>▪ Sempre utilizar os EPIs;</v>
      </c>
      <c r="BF68" s="1"/>
    </row>
    <row r="69" spans="2:58" x14ac:dyDescent="0.2">
      <c r="B69" s="289"/>
      <c r="C69" s="289"/>
      <c r="D69" s="289"/>
      <c r="E69" s="289"/>
      <c r="F69" s="289"/>
      <c r="G69" s="289"/>
      <c r="H69" s="289"/>
      <c r="I69" s="250" t="s">
        <v>94</v>
      </c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BD69" s="298"/>
      <c r="BE69" s="13" t="str">
        <f t="shared" si="4"/>
        <v>▪ Seguir o planejamento;</v>
      </c>
      <c r="BF69" s="1"/>
    </row>
    <row r="70" spans="2:58" x14ac:dyDescent="0.2">
      <c r="B70" s="289"/>
      <c r="C70" s="289"/>
      <c r="D70" s="289"/>
      <c r="E70" s="289"/>
      <c r="F70" s="289"/>
      <c r="G70" s="289"/>
      <c r="H70" s="289"/>
      <c r="I70" s="250" t="s">
        <v>95</v>
      </c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BD70" s="298"/>
      <c r="BE70" s="13" t="str">
        <f t="shared" si="4"/>
        <v>▪ Evitar contato ou aproximação com pontos energizados;</v>
      </c>
      <c r="BF70" s="1"/>
    </row>
    <row r="71" spans="2:58" x14ac:dyDescent="0.2">
      <c r="B71" s="289"/>
      <c r="C71" s="289"/>
      <c r="D71" s="289"/>
      <c r="E71" s="289"/>
      <c r="F71" s="289"/>
      <c r="G71" s="289"/>
      <c r="H71" s="289"/>
      <c r="I71" s="250" t="s">
        <v>96</v>
      </c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BD71" s="298"/>
      <c r="BE71" s="14" t="str">
        <f t="shared" si="4"/>
        <v>▪ Utilizar apenas instrumentos e materiais adequados e compatíveis com a atividade.</v>
      </c>
      <c r="BF71" s="1"/>
    </row>
    <row r="72" spans="2:58" ht="28.5" x14ac:dyDescent="0.2">
      <c r="B72" s="288" t="s">
        <v>97</v>
      </c>
      <c r="C72" s="288"/>
      <c r="D72" s="288"/>
      <c r="E72" s="288"/>
      <c r="F72" s="288"/>
      <c r="G72" s="288"/>
      <c r="H72" s="288"/>
      <c r="I72" s="290" t="s">
        <v>98</v>
      </c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90"/>
      <c r="AB72" s="290"/>
      <c r="AC72" s="290"/>
      <c r="AD72" s="290"/>
      <c r="AE72" s="290"/>
      <c r="AF72" s="290"/>
      <c r="AG72" s="290"/>
      <c r="AH72" s="290"/>
      <c r="AI72" s="290"/>
      <c r="AJ72" s="290"/>
      <c r="AK72" s="290"/>
      <c r="AL72" s="290"/>
      <c r="AM72" s="290"/>
      <c r="AN72" s="290"/>
      <c r="AO72" s="290"/>
      <c r="AP72" s="290"/>
      <c r="AQ72" s="290"/>
      <c r="AR72" s="290"/>
      <c r="AS72" s="290"/>
      <c r="AT72" s="290"/>
      <c r="AU72" s="290"/>
      <c r="AV72" s="290"/>
      <c r="AW72" s="290"/>
      <c r="AX72" s="290"/>
      <c r="AY72" s="290"/>
      <c r="BD72" s="18" t="str">
        <f t="shared" si="3"/>
        <v>⚠️Regra Principal</v>
      </c>
      <c r="BE72" s="15" t="str">
        <f t="shared" si="4"/>
        <v>Na dúvida, não execute!</v>
      </c>
      <c r="BF72" s="1"/>
    </row>
    <row r="73" spans="2:58" ht="25.5" x14ac:dyDescent="0.2">
      <c r="B73" s="289" t="s">
        <v>99</v>
      </c>
      <c r="C73" s="289"/>
      <c r="D73" s="289"/>
      <c r="E73" s="289"/>
      <c r="F73" s="289"/>
      <c r="G73" s="289"/>
      <c r="H73" s="289"/>
      <c r="I73" s="291" t="s">
        <v>100</v>
      </c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291"/>
      <c r="AX73" s="291"/>
      <c r="AY73" s="291"/>
      <c r="BD73" s="20" t="str">
        <f t="shared" si="3"/>
        <v>Nível de risco de acidente pessoal</v>
      </c>
      <c r="BE73" s="16" t="str">
        <f t="shared" si="4"/>
        <v>Moderado (Médio)</v>
      </c>
      <c r="BF73" s="1"/>
    </row>
    <row r="75" spans="2:58" x14ac:dyDescent="0.2">
      <c r="B75" s="225" t="s">
        <v>101</v>
      </c>
      <c r="C75" s="226"/>
      <c r="D75" s="227" t="s">
        <v>102</v>
      </c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8"/>
    </row>
    <row r="76" spans="2:58" ht="7.5" customHeight="1" x14ac:dyDescent="0.2"/>
    <row r="77" spans="2:58" x14ac:dyDescent="0.2">
      <c r="B77" s="251" t="s">
        <v>103</v>
      </c>
      <c r="C77" s="251"/>
      <c r="D77" s="251"/>
      <c r="E77" s="278" t="s">
        <v>104</v>
      </c>
      <c r="F77" s="278"/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51" t="s">
        <v>103</v>
      </c>
      <c r="AB77" s="251"/>
      <c r="AC77" s="251"/>
      <c r="AD77" s="278" t="s">
        <v>104</v>
      </c>
      <c r="AE77" s="278"/>
      <c r="AF77" s="278"/>
      <c r="AG77" s="278"/>
      <c r="AH77" s="278"/>
      <c r="AI77" s="278"/>
      <c r="AJ77" s="278"/>
      <c r="AK77" s="278"/>
      <c r="AL77" s="278"/>
      <c r="AM77" s="278"/>
      <c r="AN77" s="278"/>
      <c r="AO77" s="278"/>
      <c r="AP77" s="278"/>
      <c r="AQ77" s="278"/>
      <c r="AR77" s="278"/>
      <c r="AS77" s="278"/>
      <c r="AT77" s="278"/>
      <c r="AU77" s="278"/>
      <c r="AV77" s="278"/>
      <c r="AW77" s="278"/>
      <c r="AX77" s="278"/>
      <c r="AY77" s="278"/>
    </row>
    <row r="78" spans="2:58" x14ac:dyDescent="0.2">
      <c r="B78" s="286"/>
      <c r="C78" s="286"/>
      <c r="D78" s="286"/>
      <c r="E78" s="287" t="s">
        <v>105</v>
      </c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6"/>
      <c r="AB78" s="286"/>
      <c r="AC78" s="286"/>
      <c r="AD78" s="287" t="s">
        <v>106</v>
      </c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</row>
    <row r="79" spans="2:58" x14ac:dyDescent="0.2">
      <c r="B79" s="252">
        <f>COUNTA(B353:$V$387)</f>
        <v>8</v>
      </c>
      <c r="C79" s="252"/>
      <c r="D79" s="252"/>
      <c r="E79" s="282" t="s">
        <v>107</v>
      </c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52">
        <v>2</v>
      </c>
      <c r="AB79" s="252"/>
      <c r="AC79" s="252"/>
      <c r="AD79" s="282" t="s">
        <v>108</v>
      </c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</row>
    <row r="80" spans="2:58" x14ac:dyDescent="0.2">
      <c r="B80" s="252">
        <f>B79</f>
        <v>8</v>
      </c>
      <c r="C80" s="252"/>
      <c r="D80" s="252"/>
      <c r="E80" s="282" t="s">
        <v>109</v>
      </c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52">
        <v>1</v>
      </c>
      <c r="AB80" s="252"/>
      <c r="AC80" s="252"/>
      <c r="AD80" s="282" t="s">
        <v>110</v>
      </c>
      <c r="AE80" s="282"/>
      <c r="AF80" s="282"/>
      <c r="AG80" s="282"/>
      <c r="AH80" s="282"/>
      <c r="AI80" s="282"/>
      <c r="AJ80" s="282"/>
      <c r="AK80" s="282"/>
      <c r="AL80" s="282"/>
      <c r="AM80" s="282"/>
      <c r="AN80" s="282"/>
      <c r="AO80" s="282"/>
      <c r="AP80" s="282"/>
      <c r="AQ80" s="282"/>
      <c r="AR80" s="282"/>
      <c r="AS80" s="282"/>
      <c r="AT80" s="282"/>
      <c r="AU80" s="282"/>
      <c r="AV80" s="282"/>
      <c r="AW80" s="282"/>
      <c r="AX80" s="282"/>
      <c r="AY80" s="282"/>
    </row>
    <row r="81" spans="2:100" x14ac:dyDescent="0.2">
      <c r="B81" s="252">
        <f>B80</f>
        <v>8</v>
      </c>
      <c r="C81" s="252"/>
      <c r="D81" s="252"/>
      <c r="E81" s="282" t="s">
        <v>111</v>
      </c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52"/>
      <c r="AB81" s="252"/>
      <c r="AC81" s="252"/>
      <c r="AD81" s="282"/>
      <c r="AE81" s="282"/>
      <c r="AF81" s="282"/>
      <c r="AG81" s="282"/>
      <c r="AH81" s="282"/>
      <c r="AI81" s="282"/>
      <c r="AJ81" s="282"/>
      <c r="AK81" s="282"/>
      <c r="AL81" s="282"/>
      <c r="AM81" s="282"/>
      <c r="AN81" s="282"/>
      <c r="AO81" s="282"/>
      <c r="AP81" s="282"/>
      <c r="AQ81" s="282"/>
      <c r="AR81" s="282"/>
      <c r="AS81" s="282"/>
      <c r="AT81" s="282"/>
      <c r="AU81" s="282"/>
      <c r="AV81" s="282"/>
      <c r="AW81" s="282"/>
      <c r="AX81" s="282"/>
      <c r="AY81" s="282"/>
    </row>
    <row r="82" spans="2:100" x14ac:dyDescent="0.2">
      <c r="B82" s="252">
        <f>B81</f>
        <v>8</v>
      </c>
      <c r="C82" s="252"/>
      <c r="D82" s="252"/>
      <c r="E82" s="282" t="s">
        <v>112</v>
      </c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  <c r="AA82" s="252"/>
      <c r="AB82" s="252"/>
      <c r="AC82" s="252"/>
      <c r="AD82" s="282"/>
      <c r="AE82" s="282"/>
      <c r="AF82" s="282"/>
      <c r="AG82" s="282"/>
      <c r="AH82" s="282"/>
      <c r="AI82" s="282"/>
      <c r="AJ82" s="282"/>
      <c r="AK82" s="282"/>
      <c r="AL82" s="282"/>
      <c r="AM82" s="282"/>
      <c r="AN82" s="282"/>
      <c r="AO82" s="282"/>
      <c r="AP82" s="282"/>
      <c r="AQ82" s="282"/>
      <c r="AR82" s="282"/>
      <c r="AS82" s="282"/>
      <c r="AT82" s="282"/>
      <c r="AU82" s="282"/>
      <c r="AV82" s="282"/>
      <c r="AW82" s="282"/>
      <c r="AX82" s="282"/>
      <c r="AY82" s="282"/>
    </row>
    <row r="83" spans="2:100" ht="15" customHeight="1" x14ac:dyDescent="0.2">
      <c r="B83" s="252">
        <v>3</v>
      </c>
      <c r="C83" s="252"/>
      <c r="D83" s="252"/>
      <c r="E83" s="282" t="s">
        <v>113</v>
      </c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52"/>
      <c r="AB83" s="252"/>
      <c r="AC83" s="25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282"/>
      <c r="AW83" s="282"/>
      <c r="AX83" s="282"/>
      <c r="AY83" s="282"/>
    </row>
    <row r="84" spans="2:100" ht="15" customHeight="1" x14ac:dyDescent="0.2">
      <c r="B84" s="252">
        <v>1</v>
      </c>
      <c r="C84" s="252"/>
      <c r="D84" s="252"/>
      <c r="E84" s="282" t="s">
        <v>114</v>
      </c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6"/>
      <c r="AB84" s="286"/>
      <c r="AC84" s="286"/>
      <c r="AD84" s="287" t="s">
        <v>115</v>
      </c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</row>
    <row r="85" spans="2:100" ht="15" customHeight="1" x14ac:dyDescent="0.2">
      <c r="B85" s="252">
        <v>2</v>
      </c>
      <c r="C85" s="252"/>
      <c r="D85" s="252"/>
      <c r="E85" s="282" t="s">
        <v>116</v>
      </c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52">
        <v>1</v>
      </c>
      <c r="AB85" s="252"/>
      <c r="AC85" s="252"/>
      <c r="AD85" s="282" t="s">
        <v>117</v>
      </c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282"/>
      <c r="AW85" s="282"/>
      <c r="AX85" s="282"/>
      <c r="AY85" s="282"/>
    </row>
    <row r="86" spans="2:100" ht="15" customHeight="1" x14ac:dyDescent="0.2">
      <c r="B86" s="252"/>
      <c r="C86" s="252"/>
      <c r="D86" s="25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52">
        <v>1</v>
      </c>
      <c r="AB86" s="252"/>
      <c r="AC86" s="252"/>
      <c r="AD86" s="282" t="s">
        <v>118</v>
      </c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282"/>
      <c r="AW86" s="282"/>
      <c r="AX86" s="282"/>
      <c r="AY86" s="282"/>
    </row>
    <row r="87" spans="2:100" ht="15" customHeight="1" x14ac:dyDescent="0.2">
      <c r="B87" s="286"/>
      <c r="C87" s="286"/>
      <c r="D87" s="286"/>
      <c r="E87" s="287" t="s">
        <v>119</v>
      </c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52">
        <v>1</v>
      </c>
      <c r="AB87" s="252"/>
      <c r="AC87" s="252"/>
      <c r="AD87" s="282" t="s">
        <v>120</v>
      </c>
      <c r="AE87" s="282"/>
      <c r="AF87" s="282"/>
      <c r="AG87" s="282"/>
      <c r="AH87" s="282"/>
      <c r="AI87" s="282"/>
      <c r="AJ87" s="282"/>
      <c r="AK87" s="282"/>
      <c r="AL87" s="282"/>
      <c r="AM87" s="282"/>
      <c r="AN87" s="282"/>
      <c r="AO87" s="282"/>
      <c r="AP87" s="282"/>
      <c r="AQ87" s="282"/>
      <c r="AR87" s="282"/>
      <c r="AS87" s="282"/>
      <c r="AT87" s="282"/>
      <c r="AU87" s="282"/>
      <c r="AV87" s="282"/>
      <c r="AW87" s="282"/>
      <c r="AX87" s="282"/>
      <c r="AY87" s="28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2:100" ht="15" customHeight="1" x14ac:dyDescent="0.2">
      <c r="B88" s="283">
        <v>1</v>
      </c>
      <c r="C88" s="284"/>
      <c r="D88" s="285"/>
      <c r="E88" s="279" t="s">
        <v>121</v>
      </c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1"/>
      <c r="AA88" s="252">
        <v>1</v>
      </c>
      <c r="AB88" s="252"/>
      <c r="AC88" s="252"/>
      <c r="AD88" s="282" t="s">
        <v>122</v>
      </c>
      <c r="AE88" s="282"/>
      <c r="AF88" s="282"/>
      <c r="AG88" s="282"/>
      <c r="AH88" s="282"/>
      <c r="AI88" s="282"/>
      <c r="AJ88" s="282"/>
      <c r="AK88" s="282"/>
      <c r="AL88" s="282"/>
      <c r="AM88" s="282"/>
      <c r="AN88" s="282"/>
      <c r="AO88" s="282"/>
      <c r="AP88" s="282"/>
      <c r="AQ88" s="282"/>
      <c r="AR88" s="282"/>
      <c r="AS88" s="282"/>
      <c r="AT88" s="282"/>
      <c r="AU88" s="282"/>
      <c r="AV88" s="282"/>
      <c r="AW88" s="282"/>
      <c r="AX88" s="282"/>
      <c r="AY88" s="28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2:100" x14ac:dyDescent="0.2">
      <c r="B89" s="283">
        <v>1</v>
      </c>
      <c r="C89" s="284"/>
      <c r="D89" s="285"/>
      <c r="E89" s="279" t="s">
        <v>123</v>
      </c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1"/>
      <c r="AA89" s="252">
        <v>1</v>
      </c>
      <c r="AB89" s="252"/>
      <c r="AC89" s="252"/>
      <c r="AD89" s="282" t="s">
        <v>124</v>
      </c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282"/>
      <c r="AW89" s="282"/>
      <c r="AX89" s="282"/>
      <c r="AY89" s="28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2:100" ht="15" customHeight="1" x14ac:dyDescent="0.2">
      <c r="B90" s="283">
        <v>1</v>
      </c>
      <c r="C90" s="284"/>
      <c r="D90" s="285"/>
      <c r="E90" s="279" t="s">
        <v>125</v>
      </c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1"/>
      <c r="AA90" s="252"/>
      <c r="AB90" s="252"/>
      <c r="AC90" s="25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282"/>
      <c r="AW90" s="282"/>
      <c r="AX90" s="282"/>
      <c r="AY90" s="28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2:100" x14ac:dyDescent="0.2">
      <c r="B91" s="283">
        <v>2</v>
      </c>
      <c r="C91" s="284"/>
      <c r="D91" s="285"/>
      <c r="E91" s="279" t="s">
        <v>126</v>
      </c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1"/>
      <c r="AA91" s="252"/>
      <c r="AB91" s="252"/>
      <c r="AC91" s="25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282"/>
      <c r="AW91" s="282"/>
      <c r="AX91" s="282"/>
      <c r="AY91" s="28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2:100" x14ac:dyDescent="0.2">
      <c r="B92" s="286"/>
      <c r="C92" s="286"/>
      <c r="D92" s="286"/>
      <c r="E92" s="287" t="s">
        <v>127</v>
      </c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6"/>
      <c r="AB92" s="286"/>
      <c r="AC92" s="286"/>
      <c r="AD92" s="287" t="s">
        <v>128</v>
      </c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2:100" ht="15" customHeight="1" x14ac:dyDescent="0.2">
      <c r="B93" s="252">
        <v>2</v>
      </c>
      <c r="C93" s="252"/>
      <c r="D93" s="252"/>
      <c r="E93" s="282" t="s">
        <v>129</v>
      </c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52">
        <v>2</v>
      </c>
      <c r="AB93" s="252"/>
      <c r="AC93" s="252"/>
      <c r="AD93" s="282" t="s">
        <v>130</v>
      </c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282"/>
      <c r="AW93" s="282"/>
      <c r="AX93" s="282"/>
      <c r="AY93" s="282"/>
    </row>
    <row r="94" spans="2:100" x14ac:dyDescent="0.2">
      <c r="B94" s="252">
        <v>1</v>
      </c>
      <c r="C94" s="252"/>
      <c r="D94" s="252"/>
      <c r="E94" s="282" t="s">
        <v>131</v>
      </c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52">
        <v>2</v>
      </c>
      <c r="AB94" s="252"/>
      <c r="AC94" s="252"/>
      <c r="AD94" s="282" t="s">
        <v>132</v>
      </c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</row>
    <row r="95" spans="2:100" x14ac:dyDescent="0.2">
      <c r="B95" s="252">
        <v>1</v>
      </c>
      <c r="C95" s="252"/>
      <c r="D95" s="252"/>
      <c r="E95" s="282" t="s">
        <v>133</v>
      </c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52">
        <v>2</v>
      </c>
      <c r="AB95" s="252"/>
      <c r="AC95" s="252"/>
      <c r="AD95" s="282" t="s">
        <v>134</v>
      </c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</row>
    <row r="96" spans="2:100" ht="15" customHeight="1" x14ac:dyDescent="0.2">
      <c r="B96" s="252"/>
      <c r="C96" s="252"/>
      <c r="D96" s="25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52">
        <v>1</v>
      </c>
      <c r="AB96" s="252"/>
      <c r="AC96" s="252"/>
      <c r="AD96" s="282" t="s">
        <v>135</v>
      </c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</row>
    <row r="97" spans="2:62" ht="15" customHeight="1" x14ac:dyDescent="0.2">
      <c r="B97" s="286"/>
      <c r="C97" s="286"/>
      <c r="D97" s="286"/>
      <c r="E97" s="287" t="s">
        <v>136</v>
      </c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52"/>
      <c r="AB97" s="252"/>
      <c r="AC97" s="25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</row>
    <row r="98" spans="2:62" ht="15" customHeight="1" x14ac:dyDescent="0.2">
      <c r="B98" s="319" t="b">
        <v>1</v>
      </c>
      <c r="C98" s="319"/>
      <c r="D98" s="319"/>
      <c r="E98" s="282" t="s">
        <v>137</v>
      </c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52"/>
      <c r="AB98" s="252"/>
      <c r="AC98" s="25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</row>
    <row r="99" spans="2:62" x14ac:dyDescent="0.2">
      <c r="B99" s="319" t="b">
        <v>1</v>
      </c>
      <c r="C99" s="319"/>
      <c r="D99" s="319"/>
      <c r="E99" s="282" t="s">
        <v>138</v>
      </c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52"/>
      <c r="AB99" s="252"/>
      <c r="AC99" s="25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BI99" s="2"/>
      <c r="BJ99" s="2"/>
    </row>
    <row r="100" spans="2:62" x14ac:dyDescent="0.2">
      <c r="B100" s="319" t="b">
        <v>1</v>
      </c>
      <c r="C100" s="319"/>
      <c r="D100" s="319"/>
      <c r="E100" s="282" t="s">
        <v>139</v>
      </c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52"/>
      <c r="AB100" s="252"/>
      <c r="AC100" s="25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2"/>
      <c r="AT100" s="282"/>
      <c r="AU100" s="282"/>
      <c r="AV100" s="282"/>
      <c r="AW100" s="282"/>
      <c r="AX100" s="282"/>
      <c r="AY100" s="282"/>
    </row>
    <row r="101" spans="2:62" x14ac:dyDescent="0.2">
      <c r="B101" s="319" t="b">
        <v>1</v>
      </c>
      <c r="C101" s="319"/>
      <c r="D101" s="319"/>
      <c r="E101" s="282" t="s">
        <v>140</v>
      </c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52"/>
      <c r="AB101" s="252"/>
      <c r="AC101" s="25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282"/>
      <c r="AW101" s="282"/>
      <c r="AX101" s="282"/>
      <c r="AY101" s="282"/>
    </row>
    <row r="102" spans="2:62" ht="15" customHeight="1" x14ac:dyDescent="0.2">
      <c r="B102" s="319" t="b">
        <v>1</v>
      </c>
      <c r="C102" s="319"/>
      <c r="D102" s="319"/>
      <c r="E102" s="282" t="s">
        <v>141</v>
      </c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6"/>
      <c r="AB102" s="286"/>
      <c r="AC102" s="286"/>
      <c r="AD102" s="287" t="s">
        <v>142</v>
      </c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</row>
    <row r="103" spans="2:62" ht="15" customHeight="1" x14ac:dyDescent="0.2">
      <c r="B103" s="319" t="b">
        <v>0</v>
      </c>
      <c r="C103" s="319"/>
      <c r="D103" s="319"/>
      <c r="E103" s="282" t="s">
        <v>143</v>
      </c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52">
        <v>1</v>
      </c>
      <c r="AB103" s="252"/>
      <c r="AC103" s="252"/>
      <c r="AD103" s="282" t="s">
        <v>144</v>
      </c>
      <c r="AE103" s="282"/>
      <c r="AF103" s="282"/>
      <c r="AG103" s="282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282"/>
      <c r="AW103" s="282"/>
      <c r="AX103" s="282"/>
      <c r="AY103" s="282"/>
    </row>
    <row r="104" spans="2:62" ht="15" customHeight="1" x14ac:dyDescent="0.2">
      <c r="B104" s="286"/>
      <c r="C104" s="286"/>
      <c r="D104" s="286"/>
      <c r="E104" s="287" t="s">
        <v>145</v>
      </c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52">
        <v>1</v>
      </c>
      <c r="AB104" s="252"/>
      <c r="AC104" s="252"/>
      <c r="AD104" s="282" t="s">
        <v>146</v>
      </c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282"/>
      <c r="AW104" s="282"/>
      <c r="AX104" s="282"/>
      <c r="AY104" s="282"/>
    </row>
    <row r="105" spans="2:62" ht="15" customHeight="1" x14ac:dyDescent="0.2">
      <c r="B105" s="319" t="b">
        <v>1</v>
      </c>
      <c r="C105" s="319"/>
      <c r="D105" s="319"/>
      <c r="E105" s="282" t="s">
        <v>147</v>
      </c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52"/>
      <c r="AB105" s="252"/>
      <c r="AC105" s="25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282"/>
      <c r="AW105" s="282"/>
      <c r="AX105" s="282"/>
      <c r="AY105" s="282"/>
    </row>
    <row r="106" spans="2:62" x14ac:dyDescent="0.2">
      <c r="B106" s="319" t="b">
        <v>1</v>
      </c>
      <c r="C106" s="319"/>
      <c r="D106" s="319"/>
      <c r="E106" s="282" t="s">
        <v>148</v>
      </c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52"/>
      <c r="AB106" s="252"/>
      <c r="AC106" s="25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  <c r="AN106" s="282"/>
      <c r="AO106" s="282"/>
      <c r="AP106" s="282"/>
      <c r="AQ106" s="282"/>
      <c r="AR106" s="282"/>
      <c r="AS106" s="282"/>
      <c r="AT106" s="282"/>
      <c r="AU106" s="282"/>
      <c r="AV106" s="282"/>
      <c r="AW106" s="282"/>
      <c r="AX106" s="282"/>
      <c r="AY106" s="282"/>
    </row>
    <row r="107" spans="2:62" ht="15" customHeight="1" x14ac:dyDescent="0.2">
      <c r="B107" s="319" t="b">
        <v>1</v>
      </c>
      <c r="C107" s="319"/>
      <c r="D107" s="319"/>
      <c r="E107" s="282" t="s">
        <v>149</v>
      </c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52"/>
      <c r="AB107" s="252"/>
      <c r="AC107" s="25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282"/>
      <c r="AW107" s="282"/>
      <c r="AX107" s="282"/>
      <c r="AY107" s="282"/>
    </row>
    <row r="108" spans="2:62" ht="15" customHeight="1" x14ac:dyDescent="0.2">
      <c r="B108" s="319" t="b">
        <v>0</v>
      </c>
      <c r="C108" s="319"/>
      <c r="D108" s="319"/>
      <c r="E108" s="282" t="s">
        <v>150</v>
      </c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52"/>
      <c r="AB108" s="252"/>
      <c r="AC108" s="25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282"/>
      <c r="AW108" s="282"/>
      <c r="AX108" s="282"/>
      <c r="AY108" s="282"/>
    </row>
    <row r="109" spans="2:62" ht="15" customHeight="1" x14ac:dyDescent="0.2">
      <c r="B109" s="319" t="b">
        <v>0</v>
      </c>
      <c r="C109" s="319"/>
      <c r="D109" s="319"/>
      <c r="E109" s="282" t="s">
        <v>151</v>
      </c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52"/>
      <c r="AB109" s="252"/>
      <c r="AC109" s="25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  <c r="AN109" s="282"/>
      <c r="AO109" s="282"/>
      <c r="AP109" s="282"/>
      <c r="AQ109" s="282"/>
      <c r="AR109" s="282"/>
      <c r="AS109" s="282"/>
      <c r="AT109" s="282"/>
      <c r="AU109" s="282"/>
      <c r="AV109" s="282"/>
      <c r="AW109" s="282"/>
      <c r="AX109" s="282"/>
      <c r="AY109" s="282"/>
    </row>
    <row r="110" spans="2:62" ht="15" customHeight="1" x14ac:dyDescent="0.2">
      <c r="B110" s="319" t="b">
        <v>0</v>
      </c>
      <c r="C110" s="319"/>
      <c r="D110" s="319"/>
      <c r="E110" s="282" t="s">
        <v>143</v>
      </c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52"/>
      <c r="AB110" s="252"/>
      <c r="AC110" s="25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282"/>
      <c r="AW110" s="282"/>
      <c r="AX110" s="282"/>
      <c r="AY110" s="282"/>
    </row>
    <row r="112" spans="2:62" ht="15" customHeight="1" x14ac:dyDescent="0.2">
      <c r="B112" s="225" t="s">
        <v>152</v>
      </c>
      <c r="C112" s="226"/>
      <c r="D112" s="227" t="s">
        <v>153</v>
      </c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8"/>
      <c r="AZ112" s="10"/>
      <c r="BA112" s="10"/>
      <c r="BB112" s="3"/>
      <c r="BC112" s="17" t="s">
        <v>154</v>
      </c>
      <c r="BD112" s="269" t="s">
        <v>155</v>
      </c>
      <c r="BE112" s="269"/>
      <c r="BF112" s="270"/>
    </row>
    <row r="113" spans="1:83" ht="7.5" customHeight="1" thickBot="1" x14ac:dyDescent="0.25"/>
    <row r="114" spans="1:83" s="5" customFormat="1" ht="28.5" customHeight="1" thickTop="1" thickBot="1" x14ac:dyDescent="0.25">
      <c r="A114" s="9"/>
      <c r="B114" s="234" t="s">
        <v>156</v>
      </c>
      <c r="C114" s="234"/>
      <c r="D114" s="275" t="s">
        <v>157</v>
      </c>
      <c r="E114" s="276"/>
      <c r="F114" s="276"/>
      <c r="G114" s="276"/>
      <c r="H114" s="276"/>
      <c r="I114" s="276"/>
      <c r="J114" s="277"/>
      <c r="K114" s="275" t="s">
        <v>158</v>
      </c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  <c r="AD114" s="276"/>
      <c r="AE114" s="276"/>
      <c r="AF114" s="276"/>
      <c r="AG114" s="276"/>
      <c r="AH114" s="276"/>
      <c r="AI114" s="276"/>
      <c r="AJ114" s="276"/>
      <c r="AK114" s="276"/>
      <c r="AL114" s="276"/>
      <c r="AM114" s="276"/>
      <c r="AN114" s="276"/>
      <c r="AO114" s="276"/>
      <c r="AP114" s="276"/>
      <c r="AQ114" s="276"/>
      <c r="AR114" s="276"/>
      <c r="AS114" s="277"/>
      <c r="AT114" s="203" t="s">
        <v>6</v>
      </c>
      <c r="AU114" s="203"/>
      <c r="AV114" s="203"/>
      <c r="AW114" s="203"/>
      <c r="AX114" s="203"/>
      <c r="AY114" s="203"/>
      <c r="AZ114" s="9"/>
      <c r="BA114" s="9"/>
      <c r="BC114" s="6" t="str">
        <f t="shared" ref="BC114:BC177" si="5">B114</f>
        <v>Item</v>
      </c>
      <c r="BD114" s="6" t="str">
        <f t="shared" ref="BD114:BD177" si="6">D114</f>
        <v>Atividade</v>
      </c>
      <c r="BE114" s="6" t="str">
        <f t="shared" ref="BE114:BE177" si="7">K114</f>
        <v>Detalhamento</v>
      </c>
      <c r="BF114" s="6" t="str">
        <f t="shared" ref="BF114:BF177" si="8">AT114</f>
        <v>Responsável</v>
      </c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</row>
    <row r="115" spans="1:83" ht="41.25" customHeight="1" thickTop="1" x14ac:dyDescent="0.2">
      <c r="B115" s="271">
        <v>1</v>
      </c>
      <c r="C115" s="271"/>
      <c r="D115" s="244" t="s">
        <v>159</v>
      </c>
      <c r="E115" s="245"/>
      <c r="F115" s="245"/>
      <c r="G115" s="245"/>
      <c r="H115" s="245"/>
      <c r="I115" s="245"/>
      <c r="J115" s="246"/>
      <c r="K115" s="244" t="s">
        <v>160</v>
      </c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6"/>
      <c r="AT115" s="271" t="s">
        <v>161</v>
      </c>
      <c r="AU115" s="271"/>
      <c r="AV115" s="271"/>
      <c r="AW115" s="271"/>
      <c r="AX115" s="271"/>
      <c r="AY115" s="271"/>
      <c r="BC115" s="7">
        <f t="shared" si="5"/>
        <v>1</v>
      </c>
      <c r="BD115" s="7" t="str">
        <f t="shared" si="6"/>
        <v>VALIDAR PLANEJAMENTO PROPOSTO</v>
      </c>
      <c r="BE115" s="7" t="str">
        <f t="shared" si="7"/>
        <v>Realizar DDS – Diálogo Diário de Segurança.
Nivelar atividade junto a equipe e dar ciência assinando o PEX e ações APP. Informar as tarefas e distribuir para a equipe executora conforme planejamento.</v>
      </c>
      <c r="BF115" s="7" t="str">
        <f t="shared" si="8"/>
        <v>Douglas / Diego</v>
      </c>
    </row>
    <row r="116" spans="1:83" ht="27" customHeight="1" x14ac:dyDescent="0.2">
      <c r="B116" s="252">
        <v>2</v>
      </c>
      <c r="C116" s="252"/>
      <c r="D116" s="241" t="s">
        <v>162</v>
      </c>
      <c r="E116" s="242"/>
      <c r="F116" s="242"/>
      <c r="G116" s="242"/>
      <c r="H116" s="242"/>
      <c r="I116" s="242"/>
      <c r="J116" s="243"/>
      <c r="K116" s="241" t="s">
        <v>163</v>
      </c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  <c r="AP116" s="242"/>
      <c r="AQ116" s="242"/>
      <c r="AR116" s="242"/>
      <c r="AS116" s="243"/>
      <c r="AT116" s="271" t="s">
        <v>161</v>
      </c>
      <c r="AU116" s="271"/>
      <c r="AV116" s="271"/>
      <c r="AW116" s="271"/>
      <c r="AX116" s="271"/>
      <c r="AY116" s="271"/>
      <c r="BC116" s="7">
        <f t="shared" si="5"/>
        <v>2</v>
      </c>
      <c r="BD116" s="7" t="str">
        <f t="shared" si="6"/>
        <v>MOBILIZAR A EQUIPE</v>
      </c>
      <c r="BE116" s="7" t="str">
        <f t="shared" si="7"/>
        <v>Confirmar a existência de todos os recursos previstos no PEX. (RH, Ferramentas, instrumentos, EPI, EPC, materiais, transporte, documentação).</v>
      </c>
      <c r="BF116" s="7" t="str">
        <f t="shared" si="8"/>
        <v>Douglas / Diego</v>
      </c>
    </row>
    <row r="117" spans="1:83" ht="89.25" customHeight="1" x14ac:dyDescent="0.2">
      <c r="B117" s="252">
        <v>3</v>
      </c>
      <c r="C117" s="252"/>
      <c r="D117" s="241" t="s">
        <v>164</v>
      </c>
      <c r="E117" s="242"/>
      <c r="F117" s="242"/>
      <c r="G117" s="242"/>
      <c r="H117" s="242"/>
      <c r="I117" s="242"/>
      <c r="J117" s="243"/>
      <c r="K117" s="266" t="s">
        <v>165</v>
      </c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68"/>
      <c r="AT117" s="271" t="s">
        <v>166</v>
      </c>
      <c r="AU117" s="271"/>
      <c r="AV117" s="271"/>
      <c r="AW117" s="271"/>
      <c r="AX117" s="271"/>
      <c r="AY117" s="271"/>
      <c r="BC117" s="7">
        <f t="shared" si="5"/>
        <v>3</v>
      </c>
      <c r="BD117" s="7" t="str">
        <f t="shared" si="6"/>
        <v>APOIO PARA MANOBRAS DE SECCIONADORAS JUNTO À OPERAÇÃO LOCAL</v>
      </c>
      <c r="BE117" s="86" t="str">
        <f t="shared" si="7"/>
        <v>- Caso seja necessário auxiliar no fechamento ou abertura de seccionadoras, utilizar a técnica à distância com apoio do bastão isolante, pelo solo, ou com escalada pelos pórticos laterais da seccionadora, utilizando técnica de trabalho em altura.
 - Sempre atentar para a distância de segurança durante toda a atividade. 
 - Limitar os movimentos durante a execução de deslocamentos e manobras.
 - Aproximar ou tocar partes energizadas com ferramentas isolantes somente em condições atmosféricas adequadas, conforme Tabela 2 da NM-MN-LT.002.</v>
      </c>
      <c r="BF117" s="7" t="str">
        <f t="shared" si="8"/>
        <v>Equipe OOTFB.C, com apoio ELIMCO</v>
      </c>
    </row>
    <row r="118" spans="1:83" ht="27" customHeight="1" x14ac:dyDescent="0.2">
      <c r="B118" s="271">
        <v>4</v>
      </c>
      <c r="C118" s="271"/>
      <c r="D118" s="241" t="s">
        <v>167</v>
      </c>
      <c r="E118" s="242"/>
      <c r="F118" s="242"/>
      <c r="G118" s="242"/>
      <c r="H118" s="242"/>
      <c r="I118" s="242"/>
      <c r="J118" s="243"/>
      <c r="K118" s="241" t="s">
        <v>168</v>
      </c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  <c r="AP118" s="242"/>
      <c r="AQ118" s="242"/>
      <c r="AR118" s="242"/>
      <c r="AS118" s="243"/>
      <c r="AT118" s="271" t="s">
        <v>161</v>
      </c>
      <c r="AU118" s="271"/>
      <c r="AV118" s="271"/>
      <c r="AW118" s="271"/>
      <c r="AX118" s="271"/>
      <c r="AY118" s="271"/>
      <c r="BC118" s="7">
        <f t="shared" si="5"/>
        <v>4</v>
      </c>
      <c r="BD118" s="7" t="str">
        <f t="shared" si="6"/>
        <v>RECEBER A INTERVENÇÃO</v>
      </c>
      <c r="BE118" s="7" t="str">
        <f t="shared" si="7"/>
        <v>Só deverá ser solicitada a intervenção se não existirem condições impeditivas à realização dos trabalhos. Receber intervenção conforme a SI citada no cabeçalho desse PEX/APP.</v>
      </c>
      <c r="BF118" s="7" t="str">
        <f t="shared" si="8"/>
        <v>Douglas / Diego</v>
      </c>
    </row>
    <row r="119" spans="1:83" ht="40.5" customHeight="1" x14ac:dyDescent="0.2">
      <c r="B119" s="252">
        <v>5</v>
      </c>
      <c r="C119" s="252"/>
      <c r="D119" s="241" t="s">
        <v>169</v>
      </c>
      <c r="E119" s="242"/>
      <c r="F119" s="242"/>
      <c r="G119" s="242"/>
      <c r="H119" s="242"/>
      <c r="I119" s="242"/>
      <c r="J119" s="243"/>
      <c r="K119" s="241" t="s">
        <v>170</v>
      </c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  <c r="AP119" s="242"/>
      <c r="AQ119" s="242"/>
      <c r="AR119" s="242"/>
      <c r="AS119" s="243"/>
      <c r="AT119" s="271" t="s">
        <v>171</v>
      </c>
      <c r="AU119" s="271"/>
      <c r="AV119" s="271"/>
      <c r="AW119" s="271"/>
      <c r="AX119" s="271"/>
      <c r="AY119" s="271"/>
      <c r="BC119" s="7">
        <f t="shared" si="5"/>
        <v>5</v>
      </c>
      <c r="BD119" s="7" t="str">
        <f t="shared" si="6"/>
        <v>CONFIRMAR NÍVEL RISCO PROPOSTO</v>
      </c>
      <c r="BE119" s="7" t="str">
        <f t="shared" si="7"/>
        <v>Explicitar para toda a equipe a configuração recebida, indicando pontos energizados e desenergizados, de acordo com o PEX/SI nivelado anteriormente.</v>
      </c>
      <c r="BF119" s="7" t="str">
        <f t="shared" si="8"/>
        <v>Equipe OOTFB.C</v>
      </c>
    </row>
    <row r="120" spans="1:83" ht="40.5" customHeight="1" x14ac:dyDescent="0.2">
      <c r="B120" s="252">
        <v>6</v>
      </c>
      <c r="C120" s="252"/>
      <c r="D120" s="241" t="s">
        <v>172</v>
      </c>
      <c r="E120" s="242"/>
      <c r="F120" s="242"/>
      <c r="G120" s="242"/>
      <c r="H120" s="242"/>
      <c r="I120" s="242"/>
      <c r="J120" s="243"/>
      <c r="K120" s="241" t="s">
        <v>173</v>
      </c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  <c r="AP120" s="242"/>
      <c r="AQ120" s="242"/>
      <c r="AR120" s="242"/>
      <c r="AS120" s="243"/>
      <c r="AT120" s="252" t="s">
        <v>171</v>
      </c>
      <c r="AU120" s="252"/>
      <c r="AV120" s="252"/>
      <c r="AW120" s="252"/>
      <c r="AX120" s="252"/>
      <c r="AY120" s="252"/>
      <c r="BC120" s="7">
        <f t="shared" si="5"/>
        <v>6</v>
      </c>
      <c r="BD120" s="7" t="str">
        <f t="shared" si="6"/>
        <v>CONFIRMAR DIST.SEG. D1 E D2</v>
      </c>
      <c r="BE120" s="7" t="str">
        <f t="shared" si="7"/>
        <v>Obedecer a distância de segurança conforme classe de tensão por todos os envolvidos na atividade.</v>
      </c>
      <c r="BF120" s="7" t="str">
        <f t="shared" si="8"/>
        <v>Equipe OOTFB.C</v>
      </c>
    </row>
    <row r="121" spans="1:83" ht="40.5" customHeight="1" x14ac:dyDescent="0.2">
      <c r="B121" s="271">
        <v>7</v>
      </c>
      <c r="C121" s="271"/>
      <c r="D121" s="241" t="s">
        <v>174</v>
      </c>
      <c r="E121" s="242"/>
      <c r="F121" s="242"/>
      <c r="G121" s="242"/>
      <c r="H121" s="242"/>
      <c r="I121" s="242"/>
      <c r="J121" s="243"/>
      <c r="K121" s="241" t="s">
        <v>175</v>
      </c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  <c r="AP121" s="242"/>
      <c r="AQ121" s="242"/>
      <c r="AR121" s="242"/>
      <c r="AS121" s="243"/>
      <c r="AT121" s="252" t="s">
        <v>166</v>
      </c>
      <c r="AU121" s="252"/>
      <c r="AV121" s="252"/>
      <c r="AW121" s="252"/>
      <c r="AX121" s="252"/>
      <c r="AY121" s="252"/>
      <c r="BC121" s="7">
        <f t="shared" si="5"/>
        <v>7</v>
      </c>
      <c r="BD121" s="7" t="str">
        <f t="shared" si="6"/>
        <v>INSTALAR SINALIZAÇÃO</v>
      </c>
      <c r="BE121" s="7" t="str">
        <f t="shared" si="7"/>
        <v>Balizar com cones e fitas de isolamento a área de trabalho delimitando o espaço das atividades garantindo o acesso e a distância de segurança permitida, conforme IN-OP.01.010.</v>
      </c>
      <c r="BF121" s="7" t="str">
        <f t="shared" si="8"/>
        <v>Equipe OOTFB.C, com apoio ELIMCO</v>
      </c>
    </row>
    <row r="122" spans="1:83" ht="140.25" customHeight="1" x14ac:dyDescent="0.2">
      <c r="B122" s="252">
        <v>8</v>
      </c>
      <c r="C122" s="252"/>
      <c r="D122" s="484" t="s">
        <v>176</v>
      </c>
      <c r="E122" s="485"/>
      <c r="F122" s="485"/>
      <c r="G122" s="485"/>
      <c r="H122" s="485"/>
      <c r="I122" s="485"/>
      <c r="J122" s="486"/>
      <c r="K122" s="241" t="s">
        <v>177</v>
      </c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3"/>
      <c r="AT122" s="252" t="s">
        <v>178</v>
      </c>
      <c r="AU122" s="252"/>
      <c r="AV122" s="252"/>
      <c r="AW122" s="252"/>
      <c r="AX122" s="252"/>
      <c r="AY122" s="252"/>
      <c r="BC122" s="7">
        <f t="shared" si="5"/>
        <v>8</v>
      </c>
      <c r="BD122" s="7" t="str">
        <f t="shared" si="6"/>
        <v>CONFIRMAR AUSÊNCIA DE TENSÃO</v>
      </c>
      <c r="BE122" s="86" t="str">
        <f t="shared" si="7"/>
        <v>Verificar funcionamento do detetor de tensão com teste real em circuito energizado (utilizando o bastão isolante):
 - Selecionar o nível de tensão adequado;
 - Realizar teste sonoro, usando botão específico do detetor;
 - Usando bastão isolante, aproximar detetor de ponto energizado, a fim de constatar o correto funcionamento do instrumento;
 - Aproximar o detetor a cada um dos condutores de todas as fases a serem aterradas.
 - Aproximar o detetor, novamente, a um ponto energizado, a fim de reconfirmar o correto funcionamento do instrumento.
 - Na indisponibilidade de executar o teste real em circuitos energizados, deve ser executado o “teste de ruído” (conforme IM-MN-LT-M.037).</v>
      </c>
      <c r="BF122" s="7" t="str">
        <f t="shared" si="8"/>
        <v>Natanael e Fabiano</v>
      </c>
    </row>
    <row r="123" spans="1:83" ht="164.25" customHeight="1" x14ac:dyDescent="0.2">
      <c r="B123" s="252">
        <v>9</v>
      </c>
      <c r="C123" s="252"/>
      <c r="D123" s="484" t="s">
        <v>179</v>
      </c>
      <c r="E123" s="485"/>
      <c r="F123" s="485"/>
      <c r="G123" s="485"/>
      <c r="H123" s="485"/>
      <c r="I123" s="485"/>
      <c r="J123" s="486"/>
      <c r="K123" s="266" t="s">
        <v>180</v>
      </c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  <c r="AR123" s="267"/>
      <c r="AS123" s="268"/>
      <c r="AT123" s="252" t="s">
        <v>181</v>
      </c>
      <c r="AU123" s="252"/>
      <c r="AV123" s="252"/>
      <c r="AW123" s="252"/>
      <c r="AX123" s="252"/>
      <c r="AY123" s="252"/>
      <c r="BC123" s="7">
        <f t="shared" si="5"/>
        <v>9</v>
      </c>
      <c r="BD123" s="87" t="str">
        <f t="shared" si="6"/>
        <v>INSTALAR ATERRAMENTO MÓVEL TEMPORÁRIO
Essa atividade deve ser acompanhada pela equipe de Operação Local</v>
      </c>
      <c r="BE123" s="86" t="str">
        <f t="shared" si="7"/>
        <v xml:space="preserve"> - Limpar as superfícies de contato do grampo e do cabo de conexão à malha de terra.
 - Efetuar a conexão para todas as fases, garantindo um bom aperto.
 - Sempre que possível, conectar cada cabo de aterramento temporário a pontos distintos da malha de terra.
 - Confirmar que os bastões isolantes foram aprovados no teste de isolação (GO-MN-LT-M.026).
 - Instalar as bandeirolas de sinalização na extremidade superior dos cabos de aterramento.
 - Elevar o conjunto (cabo e conector de aterramento) com o bastão isolante, aproximando-o cuidadosamente até o ponto de conexão, evitando contato direto com o cabo.
 - Caso o uso da luva isolante com cobertura comprometa a ergonomia ou ofereça risco de escorregamento do bastão, poderá ser utilizada luva de algodão, desde que a ausência de tensão tenha sido previamente confirmada na etapa anterior.
 - Efetuar a conexão ao barramento/pulo/equipamento indicado na SI e representado no croqui de aterramento em anexo, garantindo um bom aperto.</v>
      </c>
      <c r="BF123" s="7" t="str">
        <f t="shared" si="8"/>
        <v>Natanael e Fabiano
(Supervisão Operação local)</v>
      </c>
    </row>
    <row r="124" spans="1:83" ht="2.4500000000000002" customHeight="1" x14ac:dyDescent="0.2">
      <c r="B124" s="252">
        <v>10</v>
      </c>
      <c r="C124" s="252"/>
      <c r="D124" s="253" t="s">
        <v>182</v>
      </c>
      <c r="E124" s="254"/>
      <c r="F124" s="254"/>
      <c r="G124" s="254"/>
      <c r="H124" s="254"/>
      <c r="I124" s="254"/>
      <c r="J124" s="255"/>
      <c r="K124" s="241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3"/>
      <c r="AT124" s="252" t="s">
        <v>171</v>
      </c>
      <c r="AU124" s="252"/>
      <c r="AV124" s="252"/>
      <c r="AW124" s="252"/>
      <c r="AX124" s="252"/>
      <c r="AY124" s="252"/>
      <c r="BC124" s="7">
        <f t="shared" si="5"/>
        <v>10</v>
      </c>
      <c r="BD124" s="88" t="str">
        <f t="shared" si="6"/>
        <v>EXECUTAR OS TRABALHOS</v>
      </c>
      <c r="BE124" s="7">
        <f t="shared" si="7"/>
        <v>0</v>
      </c>
      <c r="BF124" s="7" t="str">
        <f t="shared" si="8"/>
        <v>Equipe OOTFB.C</v>
      </c>
    </row>
    <row r="125" spans="1:83" ht="15" customHeight="1" x14ac:dyDescent="0.2">
      <c r="B125" s="252"/>
      <c r="C125" s="252"/>
      <c r="D125" s="256"/>
      <c r="E125" s="257"/>
      <c r="F125" s="257"/>
      <c r="G125" s="257"/>
      <c r="H125" s="257"/>
      <c r="I125" s="257"/>
      <c r="J125" s="258"/>
      <c r="K125" s="272" t="s">
        <v>183</v>
      </c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  <c r="AJ125" s="273"/>
      <c r="AK125" s="273"/>
      <c r="AL125" s="273"/>
      <c r="AM125" s="273"/>
      <c r="AN125" s="273"/>
      <c r="AO125" s="273"/>
      <c r="AP125" s="273"/>
      <c r="AQ125" s="273"/>
      <c r="AR125" s="273"/>
      <c r="AS125" s="274"/>
      <c r="AT125" s="252"/>
      <c r="AU125" s="252"/>
      <c r="AV125" s="252"/>
      <c r="AW125" s="252"/>
      <c r="AX125" s="252"/>
      <c r="AY125" s="252"/>
      <c r="BC125" s="7">
        <f t="shared" si="5"/>
        <v>0</v>
      </c>
      <c r="BD125" s="7">
        <f t="shared" si="6"/>
        <v>0</v>
      </c>
      <c r="BE125" s="7" t="str">
        <f t="shared" si="7"/>
        <v>CORREÇAO DE NCT EM CONTATO DE CHAVE SECCIONADORA</v>
      </c>
      <c r="BF125" s="7">
        <f t="shared" si="8"/>
        <v>0</v>
      </c>
    </row>
    <row r="126" spans="1:83" ht="15" customHeight="1" x14ac:dyDescent="0.2">
      <c r="B126" s="252"/>
      <c r="C126" s="252"/>
      <c r="D126" s="256"/>
      <c r="E126" s="257"/>
      <c r="F126" s="257"/>
      <c r="G126" s="257"/>
      <c r="H126" s="257"/>
      <c r="I126" s="257"/>
      <c r="J126" s="258"/>
      <c r="K126" s="247" t="s">
        <v>184</v>
      </c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  <c r="AC126" s="248"/>
      <c r="AD126" s="248"/>
      <c r="AE126" s="248"/>
      <c r="AF126" s="248"/>
      <c r="AG126" s="248"/>
      <c r="AH126" s="248"/>
      <c r="AI126" s="248"/>
      <c r="AJ126" s="248"/>
      <c r="AK126" s="248"/>
      <c r="AL126" s="248"/>
      <c r="AM126" s="248"/>
      <c r="AN126" s="248"/>
      <c r="AO126" s="248"/>
      <c r="AP126" s="248"/>
      <c r="AQ126" s="248"/>
      <c r="AR126" s="248"/>
      <c r="AS126" s="249"/>
      <c r="AT126" s="252"/>
      <c r="AU126" s="252"/>
      <c r="AV126" s="252"/>
      <c r="AW126" s="252"/>
      <c r="AX126" s="252"/>
      <c r="AY126" s="252"/>
      <c r="BC126" s="7">
        <f t="shared" si="5"/>
        <v>0</v>
      </c>
      <c r="BD126" s="7">
        <f t="shared" si="6"/>
        <v>0</v>
      </c>
      <c r="BE126" s="7" t="str">
        <f t="shared" si="7"/>
        <v>1) Análise preliminar</v>
      </c>
      <c r="BF126" s="7">
        <f t="shared" si="8"/>
        <v>0</v>
      </c>
    </row>
    <row r="127" spans="1:83" ht="15" customHeight="1" x14ac:dyDescent="0.2">
      <c r="B127" s="252"/>
      <c r="C127" s="252"/>
      <c r="D127" s="256"/>
      <c r="E127" s="257"/>
      <c r="F127" s="257"/>
      <c r="G127" s="257"/>
      <c r="H127" s="257"/>
      <c r="I127" s="257"/>
      <c r="J127" s="258"/>
      <c r="K127" s="241" t="s">
        <v>185</v>
      </c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3"/>
      <c r="AT127" s="252"/>
      <c r="AU127" s="252"/>
      <c r="AV127" s="252"/>
      <c r="AW127" s="252"/>
      <c r="AX127" s="252"/>
      <c r="AY127" s="252"/>
      <c r="BC127" s="7">
        <f t="shared" si="5"/>
        <v>0</v>
      </c>
      <c r="BD127" s="7">
        <f t="shared" si="6"/>
        <v>0</v>
      </c>
      <c r="BE127" s="7" t="str">
        <f t="shared" si="7"/>
        <v>▪ Verificar condição geral do contato com NCT (Fase A)</v>
      </c>
      <c r="BF127" s="7">
        <f t="shared" si="8"/>
        <v>0</v>
      </c>
    </row>
    <row r="128" spans="1:83" ht="15" customHeight="1" x14ac:dyDescent="0.2">
      <c r="B128" s="252"/>
      <c r="C128" s="252"/>
      <c r="D128" s="256"/>
      <c r="E128" s="257"/>
      <c r="F128" s="257"/>
      <c r="G128" s="257"/>
      <c r="H128" s="257"/>
      <c r="I128" s="257"/>
      <c r="J128" s="258"/>
      <c r="K128" s="241" t="s">
        <v>186</v>
      </c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  <c r="AP128" s="242"/>
      <c r="AQ128" s="242"/>
      <c r="AR128" s="242"/>
      <c r="AS128" s="243"/>
      <c r="AT128" s="252"/>
      <c r="AU128" s="252"/>
      <c r="AV128" s="252"/>
      <c r="AW128" s="252"/>
      <c r="AX128" s="252"/>
      <c r="AY128" s="252"/>
      <c r="BC128" s="7">
        <f t="shared" si="5"/>
        <v>0</v>
      </c>
      <c r="BD128" s="7">
        <f t="shared" si="6"/>
        <v>0</v>
      </c>
      <c r="BE128" s="7" t="str">
        <f t="shared" si="7"/>
        <v>▪ Identificar a área com aquecimento.</v>
      </c>
      <c r="BF128" s="7">
        <f t="shared" si="8"/>
        <v>0</v>
      </c>
    </row>
    <row r="129" spans="2:58" ht="15" customHeight="1" x14ac:dyDescent="0.2">
      <c r="B129" s="252"/>
      <c r="C129" s="252"/>
      <c r="D129" s="256"/>
      <c r="E129" s="257"/>
      <c r="F129" s="257"/>
      <c r="G129" s="257"/>
      <c r="H129" s="257"/>
      <c r="I129" s="257"/>
      <c r="J129" s="258"/>
      <c r="K129" s="241" t="s">
        <v>187</v>
      </c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  <c r="AM129" s="242"/>
      <c r="AN129" s="242"/>
      <c r="AO129" s="242"/>
      <c r="AP129" s="242"/>
      <c r="AQ129" s="242"/>
      <c r="AR129" s="242"/>
      <c r="AS129" s="243"/>
      <c r="AT129" s="252"/>
      <c r="AU129" s="252"/>
      <c r="AV129" s="252"/>
      <c r="AW129" s="252"/>
      <c r="AX129" s="252"/>
      <c r="AY129" s="252"/>
      <c r="BC129" s="7">
        <f t="shared" si="5"/>
        <v>0</v>
      </c>
      <c r="BD129" s="7">
        <f t="shared" si="6"/>
        <v>0</v>
      </c>
      <c r="BE129" s="7" t="str">
        <f t="shared" si="7"/>
        <v>▪ Verificar sinais de oxidação, folga ou desgaste.</v>
      </c>
      <c r="BF129" s="7">
        <f t="shared" si="8"/>
        <v>0</v>
      </c>
    </row>
    <row r="130" spans="2:58" x14ac:dyDescent="0.2">
      <c r="B130" s="252"/>
      <c r="C130" s="252"/>
      <c r="D130" s="256"/>
      <c r="E130" s="257"/>
      <c r="F130" s="257"/>
      <c r="G130" s="257"/>
      <c r="H130" s="257"/>
      <c r="I130" s="257"/>
      <c r="J130" s="258"/>
      <c r="K130" s="241" t="s">
        <v>188</v>
      </c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  <c r="AP130" s="242"/>
      <c r="AQ130" s="242"/>
      <c r="AR130" s="242"/>
      <c r="AS130" s="243"/>
      <c r="AT130" s="252"/>
      <c r="AU130" s="252"/>
      <c r="AV130" s="252"/>
      <c r="AW130" s="252"/>
      <c r="AX130" s="252"/>
      <c r="AY130" s="252"/>
      <c r="BC130" s="7">
        <f t="shared" si="5"/>
        <v>0</v>
      </c>
      <c r="BD130" s="7">
        <f t="shared" si="6"/>
        <v>0</v>
      </c>
      <c r="BE130" s="7" t="str">
        <f t="shared" si="7"/>
        <v>▪ Realizar registro fotográfico da condição inicial.</v>
      </c>
      <c r="BF130" s="7">
        <f t="shared" si="8"/>
        <v>0</v>
      </c>
    </row>
    <row r="131" spans="2:58" ht="15" customHeight="1" x14ac:dyDescent="0.2">
      <c r="B131" s="252"/>
      <c r="C131" s="252"/>
      <c r="D131" s="256"/>
      <c r="E131" s="257"/>
      <c r="F131" s="257"/>
      <c r="G131" s="257"/>
      <c r="H131" s="257"/>
      <c r="I131" s="257"/>
      <c r="J131" s="258"/>
      <c r="K131" s="241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  <c r="AM131" s="242"/>
      <c r="AN131" s="242"/>
      <c r="AO131" s="242"/>
      <c r="AP131" s="242"/>
      <c r="AQ131" s="242"/>
      <c r="AR131" s="242"/>
      <c r="AS131" s="243"/>
      <c r="AT131" s="252"/>
      <c r="AU131" s="252"/>
      <c r="AV131" s="252"/>
      <c r="AW131" s="252"/>
      <c r="AX131" s="252"/>
      <c r="AY131" s="252"/>
      <c r="BC131" s="7">
        <f t="shared" si="5"/>
        <v>0</v>
      </c>
      <c r="BD131" s="7">
        <f t="shared" si="6"/>
        <v>0</v>
      </c>
      <c r="BE131" s="7">
        <f t="shared" si="7"/>
        <v>0</v>
      </c>
      <c r="BF131" s="7">
        <f t="shared" si="8"/>
        <v>0</v>
      </c>
    </row>
    <row r="132" spans="2:58" x14ac:dyDescent="0.2">
      <c r="B132" s="252"/>
      <c r="C132" s="252"/>
      <c r="D132" s="256"/>
      <c r="E132" s="257"/>
      <c r="F132" s="257"/>
      <c r="G132" s="257"/>
      <c r="H132" s="257"/>
      <c r="I132" s="257"/>
      <c r="J132" s="258"/>
      <c r="K132" s="247" t="s">
        <v>189</v>
      </c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48"/>
      <c r="AS132" s="249"/>
      <c r="AT132" s="252"/>
      <c r="AU132" s="252"/>
      <c r="AV132" s="252"/>
      <c r="AW132" s="252"/>
      <c r="AX132" s="252"/>
      <c r="AY132" s="252"/>
      <c r="BC132" s="7">
        <f t="shared" si="5"/>
        <v>0</v>
      </c>
      <c r="BD132" s="7">
        <f t="shared" si="6"/>
        <v>0</v>
      </c>
      <c r="BE132" s="7" t="str">
        <f t="shared" si="7"/>
        <v>2) Desmontagem e limpeza da conexão</v>
      </c>
      <c r="BF132" s="7">
        <f t="shared" si="8"/>
        <v>0</v>
      </c>
    </row>
    <row r="133" spans="2:58" x14ac:dyDescent="0.2">
      <c r="B133" s="252"/>
      <c r="C133" s="252"/>
      <c r="D133" s="256"/>
      <c r="E133" s="257"/>
      <c r="F133" s="257"/>
      <c r="G133" s="257"/>
      <c r="H133" s="257"/>
      <c r="I133" s="257"/>
      <c r="J133" s="258"/>
      <c r="K133" s="241" t="s">
        <v>190</v>
      </c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  <c r="AM133" s="242"/>
      <c r="AN133" s="242"/>
      <c r="AO133" s="242"/>
      <c r="AP133" s="242"/>
      <c r="AQ133" s="242"/>
      <c r="AR133" s="242"/>
      <c r="AS133" s="243"/>
      <c r="AT133" s="252"/>
      <c r="AU133" s="252"/>
      <c r="AV133" s="252"/>
      <c r="AW133" s="252"/>
      <c r="AX133" s="252"/>
      <c r="AY133" s="252"/>
      <c r="BC133" s="7">
        <f t="shared" si="5"/>
        <v>0</v>
      </c>
      <c r="BD133" s="7">
        <f t="shared" si="6"/>
        <v>0</v>
      </c>
      <c r="BE133" s="7" t="str">
        <f t="shared" si="7"/>
        <v>▪ Desmontar as conexões da Fase A.</v>
      </c>
      <c r="BF133" s="7">
        <f t="shared" si="8"/>
        <v>0</v>
      </c>
    </row>
    <row r="134" spans="2:58" x14ac:dyDescent="0.2">
      <c r="B134" s="252"/>
      <c r="C134" s="252"/>
      <c r="D134" s="256"/>
      <c r="E134" s="257"/>
      <c r="F134" s="257"/>
      <c r="G134" s="257"/>
      <c r="H134" s="257"/>
      <c r="I134" s="257"/>
      <c r="J134" s="258"/>
      <c r="K134" s="241" t="s">
        <v>191</v>
      </c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  <c r="AP134" s="242"/>
      <c r="AQ134" s="242"/>
      <c r="AR134" s="242"/>
      <c r="AS134" s="243"/>
      <c r="AT134" s="252"/>
      <c r="AU134" s="252"/>
      <c r="AV134" s="252"/>
      <c r="AW134" s="252"/>
      <c r="AX134" s="252"/>
      <c r="AY134" s="252"/>
      <c r="BC134" s="7">
        <f t="shared" si="5"/>
        <v>0</v>
      </c>
      <c r="BD134" s="7">
        <f t="shared" si="6"/>
        <v>0</v>
      </c>
      <c r="BE134" s="7" t="str">
        <f t="shared" si="7"/>
        <v>▪ Remover oxidação utilizando lixa ou escova de aço.</v>
      </c>
      <c r="BF134" s="7">
        <f t="shared" si="8"/>
        <v>0</v>
      </c>
    </row>
    <row r="135" spans="2:58" x14ac:dyDescent="0.2">
      <c r="B135" s="252"/>
      <c r="C135" s="252"/>
      <c r="D135" s="256"/>
      <c r="E135" s="257"/>
      <c r="F135" s="257"/>
      <c r="G135" s="257"/>
      <c r="H135" s="257"/>
      <c r="I135" s="257"/>
      <c r="J135" s="258"/>
      <c r="K135" s="241" t="s">
        <v>192</v>
      </c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  <c r="AP135" s="242"/>
      <c r="AQ135" s="242"/>
      <c r="AR135" s="242"/>
      <c r="AS135" s="243"/>
      <c r="AT135" s="252"/>
      <c r="AU135" s="252"/>
      <c r="AV135" s="252"/>
      <c r="AW135" s="252"/>
      <c r="AX135" s="252"/>
      <c r="AY135" s="252"/>
      <c r="BC135" s="7">
        <f t="shared" si="5"/>
        <v>0</v>
      </c>
      <c r="BD135" s="7">
        <f t="shared" si="6"/>
        <v>0</v>
      </c>
      <c r="BE135" s="7" t="str">
        <f t="shared" si="7"/>
        <v>▪ Limpar com pano seco e/ou álcool isopropílico.</v>
      </c>
      <c r="BF135" s="7">
        <f t="shared" si="8"/>
        <v>0</v>
      </c>
    </row>
    <row r="136" spans="2:58" x14ac:dyDescent="0.2">
      <c r="B136" s="252"/>
      <c r="C136" s="252"/>
      <c r="D136" s="256"/>
      <c r="E136" s="257"/>
      <c r="F136" s="257"/>
      <c r="G136" s="257"/>
      <c r="H136" s="257"/>
      <c r="I136" s="257"/>
      <c r="J136" s="258"/>
      <c r="K136" s="241" t="s">
        <v>193</v>
      </c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  <c r="AP136" s="242"/>
      <c r="AQ136" s="242"/>
      <c r="AR136" s="242"/>
      <c r="AS136" s="243"/>
      <c r="AT136" s="252"/>
      <c r="AU136" s="252"/>
      <c r="AV136" s="252"/>
      <c r="AW136" s="252"/>
      <c r="AX136" s="252"/>
      <c r="AY136" s="252"/>
      <c r="BC136" s="7">
        <f t="shared" si="5"/>
        <v>0</v>
      </c>
      <c r="BD136" s="7">
        <f t="shared" si="6"/>
        <v>0</v>
      </c>
      <c r="BE136" s="7" t="str">
        <f t="shared" si="7"/>
        <v>▪ Eliminar partículas e resíduos.</v>
      </c>
      <c r="BF136" s="7">
        <f t="shared" si="8"/>
        <v>0</v>
      </c>
    </row>
    <row r="137" spans="2:58" ht="15" customHeight="1" x14ac:dyDescent="0.2">
      <c r="B137" s="252"/>
      <c r="C137" s="252"/>
      <c r="D137" s="256"/>
      <c r="E137" s="257"/>
      <c r="F137" s="257"/>
      <c r="G137" s="257"/>
      <c r="H137" s="257"/>
      <c r="I137" s="257"/>
      <c r="J137" s="258"/>
      <c r="K137" s="247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9"/>
      <c r="AT137" s="252"/>
      <c r="AU137" s="252"/>
      <c r="AV137" s="252"/>
      <c r="AW137" s="252"/>
      <c r="AX137" s="252"/>
      <c r="AY137" s="252"/>
      <c r="BC137" s="7">
        <f t="shared" si="5"/>
        <v>0</v>
      </c>
      <c r="BD137" s="7">
        <f t="shared" si="6"/>
        <v>0</v>
      </c>
      <c r="BE137" s="7">
        <f t="shared" si="7"/>
        <v>0</v>
      </c>
      <c r="BF137" s="7">
        <f t="shared" si="8"/>
        <v>0</v>
      </c>
    </row>
    <row r="138" spans="2:58" ht="15" customHeight="1" x14ac:dyDescent="0.2">
      <c r="B138" s="252"/>
      <c r="C138" s="252"/>
      <c r="D138" s="256"/>
      <c r="E138" s="257"/>
      <c r="F138" s="257"/>
      <c r="G138" s="257"/>
      <c r="H138" s="257"/>
      <c r="I138" s="257"/>
      <c r="J138" s="258"/>
      <c r="K138" s="247" t="s">
        <v>194</v>
      </c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  <c r="AD138" s="248"/>
      <c r="AE138" s="248"/>
      <c r="AF138" s="248"/>
      <c r="AG138" s="248"/>
      <c r="AH138" s="248"/>
      <c r="AI138" s="248"/>
      <c r="AJ138" s="248"/>
      <c r="AK138" s="248"/>
      <c r="AL138" s="248"/>
      <c r="AM138" s="248"/>
      <c r="AN138" s="248"/>
      <c r="AO138" s="248"/>
      <c r="AP138" s="248"/>
      <c r="AQ138" s="248"/>
      <c r="AR138" s="248"/>
      <c r="AS138" s="249"/>
      <c r="AT138" s="252"/>
      <c r="AU138" s="252"/>
      <c r="AV138" s="252"/>
      <c r="AW138" s="252"/>
      <c r="AX138" s="252"/>
      <c r="AY138" s="252"/>
      <c r="BC138" s="7">
        <f t="shared" si="5"/>
        <v>0</v>
      </c>
      <c r="BD138" s="7">
        <f t="shared" si="6"/>
        <v>0</v>
      </c>
      <c r="BE138" s="7" t="str">
        <f t="shared" si="7"/>
        <v>3) Ajuste mecânico</v>
      </c>
      <c r="BF138" s="7">
        <f t="shared" si="8"/>
        <v>0</v>
      </c>
    </row>
    <row r="139" spans="2:58" ht="15" customHeight="1" x14ac:dyDescent="0.2">
      <c r="B139" s="252"/>
      <c r="C139" s="252"/>
      <c r="D139" s="256"/>
      <c r="E139" s="257"/>
      <c r="F139" s="257"/>
      <c r="G139" s="257"/>
      <c r="H139" s="257"/>
      <c r="I139" s="257"/>
      <c r="J139" s="258"/>
      <c r="K139" s="241" t="s">
        <v>195</v>
      </c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  <c r="AM139" s="242"/>
      <c r="AN139" s="242"/>
      <c r="AO139" s="242"/>
      <c r="AP139" s="242"/>
      <c r="AQ139" s="242"/>
      <c r="AR139" s="242"/>
      <c r="AS139" s="243"/>
      <c r="AT139" s="252"/>
      <c r="AU139" s="252"/>
      <c r="AV139" s="252"/>
      <c r="AW139" s="252"/>
      <c r="AX139" s="252"/>
      <c r="AY139" s="252"/>
      <c r="BC139" s="7">
        <f t="shared" si="5"/>
        <v>0</v>
      </c>
      <c r="BD139" s="7">
        <f t="shared" si="6"/>
        <v>0</v>
      </c>
      <c r="BE139" s="7" t="str">
        <f t="shared" si="7"/>
        <v>▪ Verificar alinhamento dos contatos.</v>
      </c>
      <c r="BF139" s="7">
        <f t="shared" si="8"/>
        <v>0</v>
      </c>
    </row>
    <row r="140" spans="2:58" ht="15" customHeight="1" x14ac:dyDescent="0.2">
      <c r="B140" s="252"/>
      <c r="C140" s="252"/>
      <c r="D140" s="256"/>
      <c r="E140" s="257"/>
      <c r="F140" s="257"/>
      <c r="G140" s="257"/>
      <c r="H140" s="257"/>
      <c r="I140" s="257"/>
      <c r="J140" s="258"/>
      <c r="K140" s="241" t="s">
        <v>196</v>
      </c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42"/>
      <c r="AO140" s="242"/>
      <c r="AP140" s="242"/>
      <c r="AQ140" s="242"/>
      <c r="AR140" s="242"/>
      <c r="AS140" s="243"/>
      <c r="AT140" s="252"/>
      <c r="AU140" s="252"/>
      <c r="AV140" s="252"/>
      <c r="AW140" s="252"/>
      <c r="AX140" s="252"/>
      <c r="AY140" s="252"/>
      <c r="BC140" s="7">
        <f t="shared" si="5"/>
        <v>0</v>
      </c>
      <c r="BD140" s="7">
        <f t="shared" si="6"/>
        <v>0</v>
      </c>
      <c r="BE140" s="7" t="str">
        <f t="shared" si="7"/>
        <v>▪ Ajustar pressão de contato conforme especificação do fabricante.</v>
      </c>
      <c r="BF140" s="7">
        <f t="shared" si="8"/>
        <v>0</v>
      </c>
    </row>
    <row r="141" spans="2:58" ht="15" customHeight="1" x14ac:dyDescent="0.2">
      <c r="B141" s="252"/>
      <c r="C141" s="252"/>
      <c r="D141" s="256"/>
      <c r="E141" s="257"/>
      <c r="F141" s="257"/>
      <c r="G141" s="257"/>
      <c r="H141" s="257"/>
      <c r="I141" s="257"/>
      <c r="J141" s="258"/>
      <c r="K141" s="241" t="s">
        <v>197</v>
      </c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  <c r="AM141" s="242"/>
      <c r="AN141" s="242"/>
      <c r="AO141" s="242"/>
      <c r="AP141" s="242"/>
      <c r="AQ141" s="242"/>
      <c r="AR141" s="242"/>
      <c r="AS141" s="243"/>
      <c r="AT141" s="252"/>
      <c r="AU141" s="252"/>
      <c r="AV141" s="252"/>
      <c r="AW141" s="252"/>
      <c r="AX141" s="252"/>
      <c r="AY141" s="252"/>
      <c r="BC141" s="7">
        <f t="shared" si="5"/>
        <v>0</v>
      </c>
      <c r="BD141" s="7">
        <f t="shared" si="6"/>
        <v>0</v>
      </c>
      <c r="BE141" s="7" t="str">
        <f t="shared" si="7"/>
        <v>▪ Reapertar parafusos com torque correto.</v>
      </c>
      <c r="BF141" s="7">
        <f t="shared" si="8"/>
        <v>0</v>
      </c>
    </row>
    <row r="142" spans="2:58" ht="15" customHeight="1" x14ac:dyDescent="0.2">
      <c r="B142" s="252"/>
      <c r="C142" s="252"/>
      <c r="D142" s="256"/>
      <c r="E142" s="257"/>
      <c r="F142" s="257"/>
      <c r="G142" s="257"/>
      <c r="H142" s="257"/>
      <c r="I142" s="257"/>
      <c r="J142" s="258"/>
      <c r="K142" s="241" t="s">
        <v>198</v>
      </c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  <c r="AM142" s="242"/>
      <c r="AN142" s="242"/>
      <c r="AO142" s="242"/>
      <c r="AP142" s="242"/>
      <c r="AQ142" s="242"/>
      <c r="AR142" s="242"/>
      <c r="AS142" s="243"/>
      <c r="AT142" s="252"/>
      <c r="AU142" s="252"/>
      <c r="AV142" s="252"/>
      <c r="AW142" s="252"/>
      <c r="AX142" s="252"/>
      <c r="AY142" s="252"/>
      <c r="BC142" s="7">
        <f t="shared" si="5"/>
        <v>0</v>
      </c>
      <c r="BD142" s="7">
        <f t="shared" si="6"/>
        <v>0</v>
      </c>
      <c r="BE142" s="7" t="str">
        <f t="shared" si="7"/>
        <v>▪ Testar movimento mecânico da chave.</v>
      </c>
      <c r="BF142" s="7">
        <f t="shared" si="8"/>
        <v>0</v>
      </c>
    </row>
    <row r="143" spans="2:58" ht="15" customHeight="1" x14ac:dyDescent="0.2">
      <c r="B143" s="252"/>
      <c r="C143" s="252"/>
      <c r="D143" s="256"/>
      <c r="E143" s="257"/>
      <c r="F143" s="257"/>
      <c r="G143" s="257"/>
      <c r="H143" s="257"/>
      <c r="I143" s="257"/>
      <c r="J143" s="258"/>
      <c r="K143" s="241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  <c r="AM143" s="242"/>
      <c r="AN143" s="242"/>
      <c r="AO143" s="242"/>
      <c r="AP143" s="242"/>
      <c r="AQ143" s="242"/>
      <c r="AR143" s="242"/>
      <c r="AS143" s="243"/>
      <c r="AT143" s="252"/>
      <c r="AU143" s="252"/>
      <c r="AV143" s="252"/>
      <c r="AW143" s="252"/>
      <c r="AX143" s="252"/>
      <c r="AY143" s="252"/>
      <c r="BC143" s="7">
        <f t="shared" si="5"/>
        <v>0</v>
      </c>
      <c r="BD143" s="7">
        <f t="shared" si="6"/>
        <v>0</v>
      </c>
      <c r="BE143" s="7">
        <f t="shared" si="7"/>
        <v>0</v>
      </c>
      <c r="BF143" s="7">
        <f t="shared" si="8"/>
        <v>0</v>
      </c>
    </row>
    <row r="144" spans="2:58" ht="15" customHeight="1" x14ac:dyDescent="0.2">
      <c r="B144" s="252"/>
      <c r="C144" s="252"/>
      <c r="D144" s="256"/>
      <c r="E144" s="257"/>
      <c r="F144" s="257"/>
      <c r="G144" s="257"/>
      <c r="H144" s="257"/>
      <c r="I144" s="257"/>
      <c r="J144" s="258"/>
      <c r="K144" s="247" t="s">
        <v>199</v>
      </c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  <c r="AO144" s="248"/>
      <c r="AP144" s="248"/>
      <c r="AQ144" s="248"/>
      <c r="AR144" s="248"/>
      <c r="AS144" s="249"/>
      <c r="AT144" s="252"/>
      <c r="AU144" s="252"/>
      <c r="AV144" s="252"/>
      <c r="AW144" s="252"/>
      <c r="AX144" s="252"/>
      <c r="AY144" s="252"/>
      <c r="BC144" s="7">
        <f t="shared" si="5"/>
        <v>0</v>
      </c>
      <c r="BD144" s="7">
        <f t="shared" si="6"/>
        <v>0</v>
      </c>
      <c r="BE144" s="7" t="str">
        <f t="shared" si="7"/>
        <v>4) Substituição dos contato/dedos (se necessário)</v>
      </c>
      <c r="BF144" s="7">
        <f t="shared" si="8"/>
        <v>0</v>
      </c>
    </row>
    <row r="145" spans="2:58" x14ac:dyDescent="0.2">
      <c r="B145" s="252"/>
      <c r="C145" s="252"/>
      <c r="D145" s="256"/>
      <c r="E145" s="257"/>
      <c r="F145" s="257"/>
      <c r="G145" s="257"/>
      <c r="H145" s="257"/>
      <c r="I145" s="257"/>
      <c r="J145" s="258"/>
      <c r="K145" s="241" t="s">
        <v>200</v>
      </c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N145" s="242"/>
      <c r="AO145" s="242"/>
      <c r="AP145" s="242"/>
      <c r="AQ145" s="242"/>
      <c r="AR145" s="242"/>
      <c r="AS145" s="243"/>
      <c r="AT145" s="252"/>
      <c r="AU145" s="252"/>
      <c r="AV145" s="252"/>
      <c r="AW145" s="252"/>
      <c r="AX145" s="252"/>
      <c r="AY145" s="252"/>
      <c r="BC145" s="7">
        <f t="shared" si="5"/>
        <v>0</v>
      </c>
      <c r="BD145" s="7">
        <f t="shared" si="6"/>
        <v>0</v>
      </c>
      <c r="BE145" s="7" t="str">
        <f t="shared" si="7"/>
        <v>▪ Substituir contatos danificados.</v>
      </c>
      <c r="BF145" s="7">
        <f t="shared" si="8"/>
        <v>0</v>
      </c>
    </row>
    <row r="146" spans="2:58" x14ac:dyDescent="0.2">
      <c r="B146" s="252"/>
      <c r="C146" s="252"/>
      <c r="D146" s="256"/>
      <c r="E146" s="257"/>
      <c r="F146" s="257"/>
      <c r="G146" s="257"/>
      <c r="H146" s="257"/>
      <c r="I146" s="257"/>
      <c r="J146" s="258"/>
      <c r="K146" s="241" t="s">
        <v>201</v>
      </c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  <c r="AM146" s="242"/>
      <c r="AN146" s="242"/>
      <c r="AO146" s="242"/>
      <c r="AP146" s="242"/>
      <c r="AQ146" s="242"/>
      <c r="AR146" s="242"/>
      <c r="AS146" s="243"/>
      <c r="AT146" s="252"/>
      <c r="AU146" s="252"/>
      <c r="AV146" s="252"/>
      <c r="AW146" s="252"/>
      <c r="AX146" s="252"/>
      <c r="AY146" s="252"/>
      <c r="BC146" s="7">
        <f t="shared" si="5"/>
        <v>0</v>
      </c>
      <c r="BD146" s="7">
        <f t="shared" si="6"/>
        <v>0</v>
      </c>
      <c r="BE146" s="7" t="str">
        <f t="shared" si="7"/>
        <v>▪ Substituir pinos, garfos ou componentes comprometidos.</v>
      </c>
      <c r="BF146" s="7">
        <f t="shared" si="8"/>
        <v>0</v>
      </c>
    </row>
    <row r="147" spans="2:58" ht="15" customHeight="1" x14ac:dyDescent="0.2">
      <c r="B147" s="252"/>
      <c r="C147" s="252"/>
      <c r="D147" s="256"/>
      <c r="E147" s="257"/>
      <c r="F147" s="257"/>
      <c r="G147" s="257"/>
      <c r="H147" s="257"/>
      <c r="I147" s="257"/>
      <c r="J147" s="258"/>
      <c r="K147" s="241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N147" s="242"/>
      <c r="AO147" s="242"/>
      <c r="AP147" s="242"/>
      <c r="AQ147" s="242"/>
      <c r="AR147" s="242"/>
      <c r="AS147" s="243"/>
      <c r="AT147" s="252"/>
      <c r="AU147" s="252"/>
      <c r="AV147" s="252"/>
      <c r="AW147" s="252"/>
      <c r="AX147" s="252"/>
      <c r="AY147" s="252"/>
      <c r="BC147" s="7">
        <f t="shared" si="5"/>
        <v>0</v>
      </c>
      <c r="BD147" s="7">
        <f t="shared" si="6"/>
        <v>0</v>
      </c>
      <c r="BE147" s="7">
        <f t="shared" si="7"/>
        <v>0</v>
      </c>
      <c r="BF147" s="7">
        <f t="shared" si="8"/>
        <v>0</v>
      </c>
    </row>
    <row r="148" spans="2:58" ht="15" customHeight="1" x14ac:dyDescent="0.2">
      <c r="B148" s="252"/>
      <c r="C148" s="252"/>
      <c r="D148" s="256"/>
      <c r="E148" s="257"/>
      <c r="F148" s="257"/>
      <c r="G148" s="257"/>
      <c r="H148" s="257"/>
      <c r="I148" s="257"/>
      <c r="J148" s="258"/>
      <c r="K148" s="247" t="s">
        <v>202</v>
      </c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  <c r="AD148" s="248"/>
      <c r="AE148" s="248"/>
      <c r="AF148" s="248"/>
      <c r="AG148" s="248"/>
      <c r="AH148" s="248"/>
      <c r="AI148" s="248"/>
      <c r="AJ148" s="248"/>
      <c r="AK148" s="248"/>
      <c r="AL148" s="248"/>
      <c r="AM148" s="248"/>
      <c r="AN148" s="248"/>
      <c r="AO148" s="248"/>
      <c r="AP148" s="248"/>
      <c r="AQ148" s="248"/>
      <c r="AR148" s="248"/>
      <c r="AS148" s="249"/>
      <c r="AT148" s="252"/>
      <c r="AU148" s="252"/>
      <c r="AV148" s="252"/>
      <c r="AW148" s="252"/>
      <c r="AX148" s="252"/>
      <c r="AY148" s="252"/>
      <c r="BC148" s="7">
        <f t="shared" si="5"/>
        <v>0</v>
      </c>
      <c r="BD148" s="7">
        <f t="shared" si="6"/>
        <v>0</v>
      </c>
      <c r="BE148" s="7" t="str">
        <f t="shared" si="7"/>
        <v>5) Ensaio de resitência de contato</v>
      </c>
      <c r="BF148" s="7">
        <f t="shared" si="8"/>
        <v>0</v>
      </c>
    </row>
    <row r="149" spans="2:58" ht="15" customHeight="1" x14ac:dyDescent="0.2">
      <c r="B149" s="252"/>
      <c r="C149" s="252"/>
      <c r="D149" s="256"/>
      <c r="E149" s="257"/>
      <c r="F149" s="257"/>
      <c r="G149" s="257"/>
      <c r="H149" s="257"/>
      <c r="I149" s="257"/>
      <c r="J149" s="258"/>
      <c r="K149" s="241" t="s">
        <v>203</v>
      </c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  <c r="AM149" s="242"/>
      <c r="AN149" s="242"/>
      <c r="AO149" s="242"/>
      <c r="AP149" s="242"/>
      <c r="AQ149" s="242"/>
      <c r="AR149" s="242"/>
      <c r="AS149" s="243"/>
      <c r="AT149" s="252"/>
      <c r="AU149" s="252"/>
      <c r="AV149" s="252"/>
      <c r="AW149" s="252"/>
      <c r="AX149" s="252"/>
      <c r="AY149" s="252"/>
      <c r="BC149" s="7">
        <f t="shared" si="5"/>
        <v>0</v>
      </c>
      <c r="BD149" s="7">
        <f t="shared" si="6"/>
        <v>0</v>
      </c>
      <c r="BE149" s="7" t="str">
        <f t="shared" si="7"/>
        <v>▪ Configurar micro-ohmímetro (≥ 50 A / método 4 fios).</v>
      </c>
      <c r="BF149" s="7">
        <f t="shared" si="8"/>
        <v>0</v>
      </c>
    </row>
    <row r="150" spans="2:58" ht="15" customHeight="1" x14ac:dyDescent="0.2">
      <c r="B150" s="252"/>
      <c r="C150" s="252"/>
      <c r="D150" s="256"/>
      <c r="E150" s="257"/>
      <c r="F150" s="257"/>
      <c r="G150" s="257"/>
      <c r="H150" s="257"/>
      <c r="I150" s="257"/>
      <c r="J150" s="258"/>
      <c r="K150" s="241" t="s">
        <v>204</v>
      </c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3"/>
      <c r="AT150" s="252"/>
      <c r="AU150" s="252"/>
      <c r="AV150" s="252"/>
      <c r="AW150" s="252"/>
      <c r="AX150" s="252"/>
      <c r="AY150" s="252"/>
      <c r="BC150" s="7">
        <f t="shared" si="5"/>
        <v>0</v>
      </c>
      <c r="BD150" s="7">
        <f t="shared" si="6"/>
        <v>0</v>
      </c>
      <c r="BE150" s="7" t="str">
        <f t="shared" si="7"/>
        <v>▪ Conectar nos terminais da Fase A.</v>
      </c>
      <c r="BF150" s="7">
        <f t="shared" si="8"/>
        <v>0</v>
      </c>
    </row>
    <row r="151" spans="2:58" ht="15" customHeight="1" x14ac:dyDescent="0.2">
      <c r="B151" s="252"/>
      <c r="C151" s="252"/>
      <c r="D151" s="256"/>
      <c r="E151" s="257"/>
      <c r="F151" s="257"/>
      <c r="G151" s="257"/>
      <c r="H151" s="257"/>
      <c r="I151" s="257"/>
      <c r="J151" s="258"/>
      <c r="K151" s="241" t="s">
        <v>205</v>
      </c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3"/>
      <c r="AT151" s="252"/>
      <c r="AU151" s="252"/>
      <c r="AV151" s="252"/>
      <c r="AW151" s="252"/>
      <c r="AX151" s="252"/>
      <c r="AY151" s="252"/>
      <c r="BC151" s="7">
        <f t="shared" si="5"/>
        <v>0</v>
      </c>
      <c r="BD151" s="7">
        <f t="shared" si="6"/>
        <v>0</v>
      </c>
      <c r="BE151" s="7" t="str">
        <f t="shared" si="7"/>
        <v>▪ Garantir chave em posição fechada e travada.</v>
      </c>
      <c r="BF151" s="7">
        <f t="shared" si="8"/>
        <v>0</v>
      </c>
    </row>
    <row r="152" spans="2:58" ht="15" customHeight="1" x14ac:dyDescent="0.2">
      <c r="B152" s="252"/>
      <c r="C152" s="252"/>
      <c r="D152" s="256"/>
      <c r="E152" s="257"/>
      <c r="F152" s="257"/>
      <c r="G152" s="257"/>
      <c r="H152" s="257"/>
      <c r="I152" s="257"/>
      <c r="J152" s="258"/>
      <c r="K152" s="241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3"/>
      <c r="AT152" s="252"/>
      <c r="AU152" s="252"/>
      <c r="AV152" s="252"/>
      <c r="AW152" s="252"/>
      <c r="AX152" s="252"/>
      <c r="AY152" s="252"/>
      <c r="BC152" s="7">
        <f t="shared" si="5"/>
        <v>0</v>
      </c>
      <c r="BD152" s="7">
        <f t="shared" si="6"/>
        <v>0</v>
      </c>
      <c r="BE152" s="7">
        <f t="shared" si="7"/>
        <v>0</v>
      </c>
      <c r="BF152" s="7">
        <f t="shared" si="8"/>
        <v>0</v>
      </c>
    </row>
    <row r="153" spans="2:58" x14ac:dyDescent="0.2">
      <c r="B153" s="252"/>
      <c r="C153" s="252"/>
      <c r="D153" s="256"/>
      <c r="E153" s="257"/>
      <c r="F153" s="257"/>
      <c r="G153" s="257"/>
      <c r="H153" s="257"/>
      <c r="I153" s="257"/>
      <c r="J153" s="258"/>
      <c r="K153" s="247" t="s">
        <v>206</v>
      </c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  <c r="AO153" s="248"/>
      <c r="AP153" s="248"/>
      <c r="AQ153" s="248"/>
      <c r="AR153" s="248"/>
      <c r="AS153" s="249"/>
      <c r="AT153" s="252"/>
      <c r="AU153" s="252"/>
      <c r="AV153" s="252"/>
      <c r="AW153" s="252"/>
      <c r="AX153" s="252"/>
      <c r="AY153" s="252"/>
      <c r="BC153" s="7">
        <f t="shared" si="5"/>
        <v>0</v>
      </c>
      <c r="BD153" s="7">
        <f t="shared" si="6"/>
        <v>0</v>
      </c>
      <c r="BE153" s="7" t="str">
        <f t="shared" si="7"/>
        <v>6) Registro dos ensaios de resitência de contato</v>
      </c>
      <c r="BF153" s="7">
        <f t="shared" si="8"/>
        <v>0</v>
      </c>
    </row>
    <row r="154" spans="2:58" x14ac:dyDescent="0.2">
      <c r="B154" s="252"/>
      <c r="C154" s="252"/>
      <c r="D154" s="256"/>
      <c r="E154" s="257"/>
      <c r="F154" s="257"/>
      <c r="G154" s="257"/>
      <c r="H154" s="257"/>
      <c r="I154" s="257"/>
      <c r="J154" s="258"/>
      <c r="K154" s="241" t="s">
        <v>207</v>
      </c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3"/>
      <c r="AT154" s="252"/>
      <c r="AU154" s="252"/>
      <c r="AV154" s="252"/>
      <c r="AW154" s="252"/>
      <c r="AX154" s="252"/>
      <c r="AY154" s="252"/>
      <c r="BC154" s="7">
        <f t="shared" si="5"/>
        <v>0</v>
      </c>
      <c r="BD154" s="7">
        <f t="shared" si="6"/>
        <v>0</v>
      </c>
      <c r="BE154" s="7" t="str">
        <f t="shared" si="7"/>
        <v>▪ Medição 1 realizada:  ____</v>
      </c>
      <c r="BF154" s="7">
        <f t="shared" si="8"/>
        <v>0</v>
      </c>
    </row>
    <row r="155" spans="2:58" x14ac:dyDescent="0.2">
      <c r="B155" s="252"/>
      <c r="C155" s="252"/>
      <c r="D155" s="256"/>
      <c r="E155" s="257"/>
      <c r="F155" s="257"/>
      <c r="G155" s="257"/>
      <c r="H155" s="257"/>
      <c r="I155" s="257"/>
      <c r="J155" s="258"/>
      <c r="K155" s="241" t="s">
        <v>208</v>
      </c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3"/>
      <c r="AT155" s="252"/>
      <c r="AU155" s="252"/>
      <c r="AV155" s="252"/>
      <c r="AW155" s="252"/>
      <c r="AX155" s="252"/>
      <c r="AY155" s="252"/>
      <c r="BC155" s="7">
        <f t="shared" si="5"/>
        <v>0</v>
      </c>
      <c r="BD155" s="7">
        <f t="shared" si="6"/>
        <v>0</v>
      </c>
      <c r="BE155" s="7" t="str">
        <f t="shared" si="7"/>
        <v>▪ Medição 2 realizada:  ____</v>
      </c>
      <c r="BF155" s="7">
        <f t="shared" si="8"/>
        <v>0</v>
      </c>
    </row>
    <row r="156" spans="2:58" x14ac:dyDescent="0.2">
      <c r="B156" s="252"/>
      <c r="C156" s="252"/>
      <c r="D156" s="256"/>
      <c r="E156" s="257"/>
      <c r="F156" s="257"/>
      <c r="G156" s="257"/>
      <c r="H156" s="257"/>
      <c r="I156" s="257"/>
      <c r="J156" s="258"/>
      <c r="K156" s="241" t="s">
        <v>209</v>
      </c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  <c r="AM156" s="242"/>
      <c r="AN156" s="242"/>
      <c r="AO156" s="242"/>
      <c r="AP156" s="242"/>
      <c r="AQ156" s="242"/>
      <c r="AR156" s="242"/>
      <c r="AS156" s="243"/>
      <c r="AT156" s="252"/>
      <c r="AU156" s="252"/>
      <c r="AV156" s="252"/>
      <c r="AW156" s="252"/>
      <c r="AX156" s="252"/>
      <c r="AY156" s="252"/>
      <c r="BC156" s="7">
        <f t="shared" si="5"/>
        <v>0</v>
      </c>
      <c r="BD156" s="7">
        <f t="shared" si="6"/>
        <v>0</v>
      </c>
      <c r="BE156" s="7" t="str">
        <f t="shared" si="7"/>
        <v>▪ Medição 3 realizada:  ____</v>
      </c>
      <c r="BF156" s="7">
        <f t="shared" si="8"/>
        <v>0</v>
      </c>
    </row>
    <row r="157" spans="2:58" x14ac:dyDescent="0.2">
      <c r="B157" s="252"/>
      <c r="C157" s="252"/>
      <c r="D157" s="256"/>
      <c r="E157" s="257"/>
      <c r="F157" s="257"/>
      <c r="G157" s="257"/>
      <c r="H157" s="257"/>
      <c r="I157" s="257"/>
      <c r="J157" s="258"/>
      <c r="K157" s="241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  <c r="AM157" s="242"/>
      <c r="AN157" s="242"/>
      <c r="AO157" s="242"/>
      <c r="AP157" s="242"/>
      <c r="AQ157" s="242"/>
      <c r="AR157" s="242"/>
      <c r="AS157" s="243"/>
      <c r="AT157" s="252"/>
      <c r="AU157" s="252"/>
      <c r="AV157" s="252"/>
      <c r="AW157" s="252"/>
      <c r="AX157" s="252"/>
      <c r="AY157" s="252"/>
      <c r="BC157" s="7">
        <f t="shared" si="5"/>
        <v>0</v>
      </c>
      <c r="BD157" s="7">
        <f t="shared" si="6"/>
        <v>0</v>
      </c>
      <c r="BE157" s="7">
        <f t="shared" si="7"/>
        <v>0</v>
      </c>
      <c r="BF157" s="7">
        <f t="shared" si="8"/>
        <v>0</v>
      </c>
    </row>
    <row r="158" spans="2:58" x14ac:dyDescent="0.2">
      <c r="B158" s="252"/>
      <c r="C158" s="252"/>
      <c r="D158" s="256"/>
      <c r="E158" s="257"/>
      <c r="F158" s="257"/>
      <c r="G158" s="257"/>
      <c r="H158" s="257"/>
      <c r="I158" s="257"/>
      <c r="J158" s="258"/>
      <c r="K158" s="247" t="s">
        <v>210</v>
      </c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  <c r="AE158" s="248"/>
      <c r="AF158" s="248"/>
      <c r="AG158" s="248"/>
      <c r="AH158" s="248"/>
      <c r="AI158" s="248"/>
      <c r="AJ158" s="248"/>
      <c r="AK158" s="248"/>
      <c r="AL158" s="248"/>
      <c r="AM158" s="248"/>
      <c r="AN158" s="248"/>
      <c r="AO158" s="248"/>
      <c r="AP158" s="248"/>
      <c r="AQ158" s="248"/>
      <c r="AR158" s="248"/>
      <c r="AS158" s="249"/>
      <c r="AT158" s="252"/>
      <c r="AU158" s="252"/>
      <c r="AV158" s="252"/>
      <c r="AW158" s="252"/>
      <c r="AX158" s="252"/>
      <c r="AY158" s="252"/>
      <c r="BC158" s="7">
        <f t="shared" si="5"/>
        <v>0</v>
      </c>
      <c r="BD158" s="7">
        <f t="shared" si="6"/>
        <v>0</v>
      </c>
      <c r="BE158" s="7" t="str">
        <f t="shared" si="7"/>
        <v>7) Comparação com critério de aceitação</v>
      </c>
      <c r="BF158" s="7">
        <f t="shared" si="8"/>
        <v>0</v>
      </c>
    </row>
    <row r="159" spans="2:58" ht="15" customHeight="1" x14ac:dyDescent="0.2">
      <c r="B159" s="252"/>
      <c r="C159" s="252"/>
      <c r="D159" s="256"/>
      <c r="E159" s="257"/>
      <c r="F159" s="257"/>
      <c r="G159" s="257"/>
      <c r="H159" s="257"/>
      <c r="I159" s="257"/>
      <c r="J159" s="258"/>
      <c r="K159" s="241" t="s">
        <v>211</v>
      </c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  <c r="AM159" s="242"/>
      <c r="AN159" s="242"/>
      <c r="AO159" s="242"/>
      <c r="AP159" s="242"/>
      <c r="AQ159" s="242"/>
      <c r="AR159" s="242"/>
      <c r="AS159" s="243"/>
      <c r="AT159" s="252"/>
      <c r="AU159" s="252"/>
      <c r="AV159" s="252"/>
      <c r="AW159" s="252"/>
      <c r="AX159" s="252"/>
      <c r="AY159" s="252"/>
      <c r="BC159" s="7">
        <f t="shared" si="5"/>
        <v>0</v>
      </c>
      <c r="BD159" s="7">
        <f t="shared" si="6"/>
        <v>0</v>
      </c>
      <c r="BE159" s="7" t="str">
        <f t="shared" si="7"/>
        <v>▪ Confirmar se todos os valores ≤ 50 µΩ</v>
      </c>
      <c r="BF159" s="7">
        <f t="shared" si="8"/>
        <v>0</v>
      </c>
    </row>
    <row r="160" spans="2:58" ht="15" customHeight="1" x14ac:dyDescent="0.2">
      <c r="B160" s="252"/>
      <c r="C160" s="252"/>
      <c r="D160" s="256"/>
      <c r="E160" s="257"/>
      <c r="F160" s="257"/>
      <c r="G160" s="257"/>
      <c r="H160" s="257"/>
      <c r="I160" s="257"/>
      <c r="J160" s="258"/>
      <c r="K160" s="241" t="s">
        <v>212</v>
      </c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N160" s="242"/>
      <c r="AO160" s="242"/>
      <c r="AP160" s="242"/>
      <c r="AQ160" s="242"/>
      <c r="AR160" s="242"/>
      <c r="AS160" s="243"/>
      <c r="AT160" s="252"/>
      <c r="AU160" s="252"/>
      <c r="AV160" s="252"/>
      <c r="AW160" s="252"/>
      <c r="AX160" s="252"/>
      <c r="AY160" s="252"/>
      <c r="BC160" s="7">
        <f t="shared" si="5"/>
        <v>0</v>
      </c>
      <c r="BD160" s="7">
        <f t="shared" si="6"/>
        <v>0</v>
      </c>
      <c r="BE160" s="7" t="str">
        <f t="shared" si="7"/>
        <v>▪ Caso contrário, retornar ao item de correção</v>
      </c>
      <c r="BF160" s="7">
        <f t="shared" si="8"/>
        <v>0</v>
      </c>
    </row>
    <row r="161" spans="2:58" ht="15" customHeight="1" x14ac:dyDescent="0.2">
      <c r="B161" s="252"/>
      <c r="C161" s="252"/>
      <c r="D161" s="256"/>
      <c r="E161" s="257"/>
      <c r="F161" s="257"/>
      <c r="G161" s="257"/>
      <c r="H161" s="257"/>
      <c r="I161" s="257"/>
      <c r="J161" s="258"/>
      <c r="K161" s="241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N161" s="242"/>
      <c r="AO161" s="242"/>
      <c r="AP161" s="242"/>
      <c r="AQ161" s="242"/>
      <c r="AR161" s="242"/>
      <c r="AS161" s="243"/>
      <c r="AT161" s="252"/>
      <c r="AU161" s="252"/>
      <c r="AV161" s="252"/>
      <c r="AW161" s="252"/>
      <c r="AX161" s="252"/>
      <c r="AY161" s="252"/>
      <c r="BC161" s="7">
        <f t="shared" si="5"/>
        <v>0</v>
      </c>
      <c r="BD161" s="7">
        <f t="shared" si="6"/>
        <v>0</v>
      </c>
      <c r="BE161" s="7">
        <f t="shared" si="7"/>
        <v>0</v>
      </c>
      <c r="BF161" s="7">
        <f t="shared" si="8"/>
        <v>0</v>
      </c>
    </row>
    <row r="162" spans="2:58" ht="15" customHeight="1" x14ac:dyDescent="0.2">
      <c r="B162" s="252"/>
      <c r="C162" s="252"/>
      <c r="D162" s="256"/>
      <c r="E162" s="257"/>
      <c r="F162" s="257"/>
      <c r="G162" s="257"/>
      <c r="H162" s="257"/>
      <c r="I162" s="257"/>
      <c r="J162" s="258"/>
      <c r="K162" s="247" t="s">
        <v>213</v>
      </c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  <c r="AB162" s="248"/>
      <c r="AC162" s="248"/>
      <c r="AD162" s="248"/>
      <c r="AE162" s="248"/>
      <c r="AF162" s="248"/>
      <c r="AG162" s="248"/>
      <c r="AH162" s="248"/>
      <c r="AI162" s="248"/>
      <c r="AJ162" s="248"/>
      <c r="AK162" s="248"/>
      <c r="AL162" s="248"/>
      <c r="AM162" s="248"/>
      <c r="AN162" s="248"/>
      <c r="AO162" s="248"/>
      <c r="AP162" s="248"/>
      <c r="AQ162" s="248"/>
      <c r="AR162" s="248"/>
      <c r="AS162" s="249"/>
      <c r="AT162" s="252"/>
      <c r="AU162" s="252"/>
      <c r="AV162" s="252"/>
      <c r="AW162" s="252"/>
      <c r="AX162" s="252"/>
      <c r="AY162" s="252"/>
      <c r="BC162" s="7">
        <f t="shared" si="5"/>
        <v>0</v>
      </c>
      <c r="BD162" s="7">
        <f t="shared" si="6"/>
        <v>0</v>
      </c>
      <c r="BE162" s="7" t="str">
        <f t="shared" si="7"/>
        <v>8) Inspeção final</v>
      </c>
      <c r="BF162" s="7">
        <f t="shared" si="8"/>
        <v>0</v>
      </c>
    </row>
    <row r="163" spans="2:58" ht="15" customHeight="1" x14ac:dyDescent="0.2">
      <c r="B163" s="252"/>
      <c r="C163" s="252"/>
      <c r="D163" s="256"/>
      <c r="E163" s="257"/>
      <c r="F163" s="257"/>
      <c r="G163" s="257"/>
      <c r="H163" s="257"/>
      <c r="I163" s="257"/>
      <c r="J163" s="258"/>
      <c r="K163" s="241" t="s">
        <v>214</v>
      </c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  <c r="AM163" s="242"/>
      <c r="AN163" s="242"/>
      <c r="AO163" s="242"/>
      <c r="AP163" s="242"/>
      <c r="AQ163" s="242"/>
      <c r="AR163" s="242"/>
      <c r="AS163" s="243"/>
      <c r="AT163" s="252"/>
      <c r="AU163" s="252"/>
      <c r="AV163" s="252"/>
      <c r="AW163" s="252"/>
      <c r="AX163" s="252"/>
      <c r="AY163" s="252"/>
      <c r="BC163" s="7">
        <f t="shared" si="5"/>
        <v>0</v>
      </c>
      <c r="BD163" s="7">
        <f t="shared" si="6"/>
        <v>0</v>
      </c>
      <c r="BE163" s="7" t="str">
        <f t="shared" si="7"/>
        <v>▪ Realizar manobra final (abrir/fechar).</v>
      </c>
      <c r="BF163" s="7">
        <f t="shared" si="8"/>
        <v>0</v>
      </c>
    </row>
    <row r="164" spans="2:58" ht="14.25" customHeight="1" x14ac:dyDescent="0.2">
      <c r="B164" s="252"/>
      <c r="C164" s="252"/>
      <c r="D164" s="256"/>
      <c r="E164" s="257"/>
      <c r="F164" s="257"/>
      <c r="G164" s="257"/>
      <c r="H164" s="257"/>
      <c r="I164" s="257"/>
      <c r="J164" s="258"/>
      <c r="K164" s="484" t="s">
        <v>215</v>
      </c>
      <c r="L164" s="485"/>
      <c r="M164" s="485"/>
      <c r="N164" s="485"/>
      <c r="O164" s="485"/>
      <c r="P164" s="485"/>
      <c r="Q164" s="485"/>
      <c r="R164" s="485"/>
      <c r="S164" s="485"/>
      <c r="T164" s="485"/>
      <c r="U164" s="485"/>
      <c r="V164" s="485"/>
      <c r="W164" s="485"/>
      <c r="X164" s="485"/>
      <c r="Y164" s="485"/>
      <c r="Z164" s="485"/>
      <c r="AA164" s="485"/>
      <c r="AB164" s="485"/>
      <c r="AC164" s="485"/>
      <c r="AD164" s="485"/>
      <c r="AE164" s="485"/>
      <c r="AF164" s="485"/>
      <c r="AG164" s="485"/>
      <c r="AH164" s="485"/>
      <c r="AI164" s="485"/>
      <c r="AJ164" s="485"/>
      <c r="AK164" s="485"/>
      <c r="AL164" s="485"/>
      <c r="AM164" s="485"/>
      <c r="AN164" s="485"/>
      <c r="AO164" s="485"/>
      <c r="AP164" s="485"/>
      <c r="AQ164" s="485"/>
      <c r="AR164" s="485"/>
      <c r="AS164" s="486"/>
      <c r="AT164" s="252"/>
      <c r="AU164" s="252"/>
      <c r="AV164" s="252"/>
      <c r="AW164" s="252"/>
      <c r="AX164" s="252"/>
      <c r="AY164" s="252"/>
      <c r="BC164" s="7">
        <f t="shared" si="5"/>
        <v>0</v>
      </c>
      <c r="BD164" s="7">
        <f t="shared" si="6"/>
        <v>0</v>
      </c>
      <c r="BE164" s="7" t="str">
        <f t="shared" si="7"/>
        <v>▪ Conferir travamentos mecânicos.</v>
      </c>
      <c r="BF164" s="7">
        <f t="shared" si="8"/>
        <v>0</v>
      </c>
    </row>
    <row r="165" spans="2:58" ht="15" customHeight="1" x14ac:dyDescent="0.2">
      <c r="B165" s="252"/>
      <c r="C165" s="252"/>
      <c r="D165" s="256"/>
      <c r="E165" s="257"/>
      <c r="F165" s="257"/>
      <c r="G165" s="257"/>
      <c r="H165" s="257"/>
      <c r="I165" s="257"/>
      <c r="J165" s="258"/>
      <c r="K165" s="241" t="s">
        <v>216</v>
      </c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  <c r="AM165" s="242"/>
      <c r="AN165" s="242"/>
      <c r="AO165" s="242"/>
      <c r="AP165" s="242"/>
      <c r="AQ165" s="242"/>
      <c r="AR165" s="242"/>
      <c r="AS165" s="243"/>
      <c r="AT165" s="252"/>
      <c r="AU165" s="252"/>
      <c r="AV165" s="252"/>
      <c r="AW165" s="252"/>
      <c r="AX165" s="252"/>
      <c r="AY165" s="252"/>
      <c r="BC165" s="7">
        <f t="shared" si="5"/>
        <v>0</v>
      </c>
      <c r="BD165" s="7">
        <f t="shared" si="6"/>
        <v>0</v>
      </c>
      <c r="BE165" s="7" t="str">
        <f t="shared" si="7"/>
        <v>▪ Verificar visualmente os contatos.</v>
      </c>
      <c r="BF165" s="7">
        <f t="shared" si="8"/>
        <v>0</v>
      </c>
    </row>
    <row r="166" spans="2:58" ht="15" customHeight="1" x14ac:dyDescent="0.2">
      <c r="B166" s="252"/>
      <c r="C166" s="252"/>
      <c r="D166" s="256"/>
      <c r="E166" s="257"/>
      <c r="F166" s="257"/>
      <c r="G166" s="257"/>
      <c r="H166" s="257"/>
      <c r="I166" s="257"/>
      <c r="J166" s="258"/>
      <c r="K166" s="241" t="s">
        <v>217</v>
      </c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N166" s="242"/>
      <c r="AO166" s="242"/>
      <c r="AP166" s="242"/>
      <c r="AQ166" s="242"/>
      <c r="AR166" s="242"/>
      <c r="AS166" s="243"/>
      <c r="AT166" s="252"/>
      <c r="AU166" s="252"/>
      <c r="AV166" s="252"/>
      <c r="AW166" s="252"/>
      <c r="AX166" s="252"/>
      <c r="AY166" s="252"/>
      <c r="BC166" s="7">
        <f t="shared" si="5"/>
        <v>0</v>
      </c>
      <c r="BD166" s="7">
        <f t="shared" si="6"/>
        <v>0</v>
      </c>
      <c r="BE166" s="7" t="str">
        <f t="shared" si="7"/>
        <v>▪ Liberar área e recolher ferramentas.</v>
      </c>
      <c r="BF166" s="7">
        <f t="shared" si="8"/>
        <v>0</v>
      </c>
    </row>
    <row r="167" spans="2:58" ht="15" customHeight="1" x14ac:dyDescent="0.2">
      <c r="B167" s="252"/>
      <c r="C167" s="252"/>
      <c r="D167" s="256"/>
      <c r="E167" s="257"/>
      <c r="F167" s="257"/>
      <c r="G167" s="257"/>
      <c r="H167" s="257"/>
      <c r="I167" s="257"/>
      <c r="J167" s="258"/>
      <c r="K167" s="241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  <c r="AM167" s="242"/>
      <c r="AN167" s="242"/>
      <c r="AO167" s="242"/>
      <c r="AP167" s="242"/>
      <c r="AQ167" s="242"/>
      <c r="AR167" s="242"/>
      <c r="AS167" s="243"/>
      <c r="AT167" s="252"/>
      <c r="AU167" s="252"/>
      <c r="AV167" s="252"/>
      <c r="AW167" s="252"/>
      <c r="AX167" s="252"/>
      <c r="AY167" s="252"/>
      <c r="BC167" s="7">
        <f t="shared" si="5"/>
        <v>0</v>
      </c>
      <c r="BD167" s="7">
        <f t="shared" si="6"/>
        <v>0</v>
      </c>
      <c r="BE167" s="7">
        <f t="shared" si="7"/>
        <v>0</v>
      </c>
      <c r="BF167" s="7">
        <f t="shared" si="8"/>
        <v>0</v>
      </c>
    </row>
    <row r="168" spans="2:58" ht="15" customHeight="1" x14ac:dyDescent="0.2">
      <c r="B168" s="252"/>
      <c r="C168" s="252"/>
      <c r="D168" s="256"/>
      <c r="E168" s="257"/>
      <c r="F168" s="257"/>
      <c r="G168" s="257"/>
      <c r="H168" s="257"/>
      <c r="I168" s="257"/>
      <c r="J168" s="258"/>
      <c r="K168" s="247" t="s">
        <v>218</v>
      </c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  <c r="AC168" s="248"/>
      <c r="AD168" s="248"/>
      <c r="AE168" s="248"/>
      <c r="AF168" s="248"/>
      <c r="AG168" s="248"/>
      <c r="AH168" s="248"/>
      <c r="AI168" s="248"/>
      <c r="AJ168" s="248"/>
      <c r="AK168" s="248"/>
      <c r="AL168" s="248"/>
      <c r="AM168" s="248"/>
      <c r="AN168" s="248"/>
      <c r="AO168" s="248"/>
      <c r="AP168" s="248"/>
      <c r="AQ168" s="248"/>
      <c r="AR168" s="248"/>
      <c r="AS168" s="249"/>
      <c r="AT168" s="252"/>
      <c r="AU168" s="252"/>
      <c r="AV168" s="252"/>
      <c r="AW168" s="252"/>
      <c r="AX168" s="252"/>
      <c r="AY168" s="252"/>
      <c r="BC168" s="7">
        <f t="shared" si="5"/>
        <v>0</v>
      </c>
      <c r="BD168" s="7">
        <f t="shared" si="6"/>
        <v>0</v>
      </c>
      <c r="BE168" s="7" t="str">
        <f t="shared" si="7"/>
        <v>9) Energização e Monitoramento</v>
      </c>
      <c r="BF168" s="7">
        <f t="shared" si="8"/>
        <v>0</v>
      </c>
    </row>
    <row r="169" spans="2:58" ht="27" x14ac:dyDescent="0.2">
      <c r="B169" s="252"/>
      <c r="C169" s="252"/>
      <c r="D169" s="256"/>
      <c r="E169" s="257"/>
      <c r="F169" s="257"/>
      <c r="G169" s="257"/>
      <c r="H169" s="257"/>
      <c r="I169" s="257"/>
      <c r="J169" s="258"/>
      <c r="K169" s="241" t="s">
        <v>219</v>
      </c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  <c r="AM169" s="242"/>
      <c r="AN169" s="242"/>
      <c r="AO169" s="242"/>
      <c r="AP169" s="242"/>
      <c r="AQ169" s="242"/>
      <c r="AR169" s="242"/>
      <c r="AS169" s="243"/>
      <c r="AT169" s="252"/>
      <c r="AU169" s="252"/>
      <c r="AV169" s="252"/>
      <c r="AW169" s="252"/>
      <c r="AX169" s="252"/>
      <c r="AY169" s="252"/>
      <c r="BC169" s="7">
        <f t="shared" si="5"/>
        <v>0</v>
      </c>
      <c r="BD169" s="7">
        <f t="shared" si="6"/>
        <v>0</v>
      </c>
      <c r="BE169" s="7" t="str">
        <f t="shared" si="7"/>
        <v>▪ Após energização, monitorar ruídos, corrente de operação e temperatura (termovisão recomendada).</v>
      </c>
      <c r="BF169" s="7">
        <f t="shared" si="8"/>
        <v>0</v>
      </c>
    </row>
    <row r="170" spans="2:58" ht="15" customHeight="1" x14ac:dyDescent="0.2">
      <c r="B170" s="252"/>
      <c r="C170" s="252"/>
      <c r="D170" s="256"/>
      <c r="E170" s="257"/>
      <c r="F170" s="257"/>
      <c r="G170" s="257"/>
      <c r="H170" s="257"/>
      <c r="I170" s="257"/>
      <c r="J170" s="258"/>
      <c r="K170" s="241" t="s">
        <v>220</v>
      </c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  <c r="AM170" s="242"/>
      <c r="AN170" s="242"/>
      <c r="AO170" s="242"/>
      <c r="AP170" s="242"/>
      <c r="AQ170" s="242"/>
      <c r="AR170" s="242"/>
      <c r="AS170" s="243"/>
      <c r="AT170" s="252"/>
      <c r="AU170" s="252"/>
      <c r="AV170" s="252"/>
      <c r="AW170" s="252"/>
      <c r="AX170" s="252"/>
      <c r="AY170" s="252"/>
      <c r="BC170" s="7">
        <f t="shared" si="5"/>
        <v>0</v>
      </c>
      <c r="BD170" s="7">
        <f t="shared" si="6"/>
        <v>0</v>
      </c>
      <c r="BE170" s="7" t="str">
        <f t="shared" si="7"/>
        <v>▪ Monitorar e registrar comportamento térmico e visual nas primeiras horas.</v>
      </c>
      <c r="BF170" s="7">
        <f t="shared" si="8"/>
        <v>0</v>
      </c>
    </row>
    <row r="171" spans="2:58" ht="15" customHeight="1" x14ac:dyDescent="0.2">
      <c r="B171" s="252"/>
      <c r="C171" s="252"/>
      <c r="D171" s="256"/>
      <c r="E171" s="257"/>
      <c r="F171" s="257"/>
      <c r="G171" s="257"/>
      <c r="H171" s="257"/>
      <c r="I171" s="257"/>
      <c r="J171" s="258"/>
      <c r="K171" s="241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  <c r="AM171" s="242"/>
      <c r="AN171" s="242"/>
      <c r="AO171" s="242"/>
      <c r="AP171" s="242"/>
      <c r="AQ171" s="242"/>
      <c r="AR171" s="242"/>
      <c r="AS171" s="243"/>
      <c r="AT171" s="252"/>
      <c r="AU171" s="252"/>
      <c r="AV171" s="252"/>
      <c r="AW171" s="252"/>
      <c r="AX171" s="252"/>
      <c r="AY171" s="252"/>
      <c r="BC171" s="7">
        <f t="shared" si="5"/>
        <v>0</v>
      </c>
      <c r="BD171" s="7">
        <f t="shared" si="6"/>
        <v>0</v>
      </c>
      <c r="BE171" s="7">
        <f t="shared" si="7"/>
        <v>0</v>
      </c>
      <c r="BF171" s="7">
        <f t="shared" si="8"/>
        <v>0</v>
      </c>
    </row>
    <row r="172" spans="2:58" ht="15" hidden="1" customHeight="1" x14ac:dyDescent="0.2">
      <c r="B172" s="252"/>
      <c r="C172" s="252"/>
      <c r="D172" s="256"/>
      <c r="E172" s="257"/>
      <c r="F172" s="257"/>
      <c r="G172" s="257"/>
      <c r="H172" s="257"/>
      <c r="I172" s="257"/>
      <c r="J172" s="258"/>
      <c r="K172" s="247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  <c r="AC172" s="248"/>
      <c r="AD172" s="248"/>
      <c r="AE172" s="248"/>
      <c r="AF172" s="248"/>
      <c r="AG172" s="248"/>
      <c r="AH172" s="248"/>
      <c r="AI172" s="248"/>
      <c r="AJ172" s="248"/>
      <c r="AK172" s="248"/>
      <c r="AL172" s="248"/>
      <c r="AM172" s="248"/>
      <c r="AN172" s="248"/>
      <c r="AO172" s="248"/>
      <c r="AP172" s="248"/>
      <c r="AQ172" s="248"/>
      <c r="AR172" s="248"/>
      <c r="AS172" s="249"/>
      <c r="AT172" s="252"/>
      <c r="AU172" s="252"/>
      <c r="AV172" s="252"/>
      <c r="AW172" s="252"/>
      <c r="AX172" s="252"/>
      <c r="AY172" s="252"/>
      <c r="BC172" s="7">
        <f t="shared" si="5"/>
        <v>0</v>
      </c>
      <c r="BD172" s="7">
        <f t="shared" si="6"/>
        <v>0</v>
      </c>
      <c r="BE172" s="7">
        <f t="shared" si="7"/>
        <v>0</v>
      </c>
      <c r="BF172" s="7">
        <f t="shared" si="8"/>
        <v>0</v>
      </c>
    </row>
    <row r="173" spans="2:58" ht="15" hidden="1" customHeight="1" x14ac:dyDescent="0.2">
      <c r="B173" s="252"/>
      <c r="C173" s="252"/>
      <c r="D173" s="256"/>
      <c r="E173" s="257"/>
      <c r="F173" s="257"/>
      <c r="G173" s="257"/>
      <c r="H173" s="257"/>
      <c r="I173" s="257"/>
      <c r="J173" s="258"/>
      <c r="K173" s="241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  <c r="AM173" s="242"/>
      <c r="AN173" s="242"/>
      <c r="AO173" s="242"/>
      <c r="AP173" s="242"/>
      <c r="AQ173" s="242"/>
      <c r="AR173" s="242"/>
      <c r="AS173" s="243"/>
      <c r="AT173" s="252"/>
      <c r="AU173" s="252"/>
      <c r="AV173" s="252"/>
      <c r="AW173" s="252"/>
      <c r="AX173" s="252"/>
      <c r="AY173" s="252"/>
      <c r="BC173" s="7">
        <f t="shared" si="5"/>
        <v>0</v>
      </c>
      <c r="BD173" s="7">
        <f t="shared" si="6"/>
        <v>0</v>
      </c>
      <c r="BE173" s="7">
        <f t="shared" si="7"/>
        <v>0</v>
      </c>
      <c r="BF173" s="7">
        <f t="shared" si="8"/>
        <v>0</v>
      </c>
    </row>
    <row r="174" spans="2:58" hidden="1" x14ac:dyDescent="0.2">
      <c r="B174" s="252"/>
      <c r="C174" s="252"/>
      <c r="D174" s="256"/>
      <c r="E174" s="257"/>
      <c r="F174" s="257"/>
      <c r="G174" s="257"/>
      <c r="H174" s="257"/>
      <c r="I174" s="257"/>
      <c r="J174" s="258"/>
      <c r="K174" s="241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  <c r="AM174" s="242"/>
      <c r="AN174" s="242"/>
      <c r="AO174" s="242"/>
      <c r="AP174" s="242"/>
      <c r="AQ174" s="242"/>
      <c r="AR174" s="242"/>
      <c r="AS174" s="243"/>
      <c r="AT174" s="252"/>
      <c r="AU174" s="252"/>
      <c r="AV174" s="252"/>
      <c r="AW174" s="252"/>
      <c r="AX174" s="252"/>
      <c r="AY174" s="252"/>
      <c r="BC174" s="7">
        <f t="shared" si="5"/>
        <v>0</v>
      </c>
      <c r="BD174" s="7">
        <f t="shared" si="6"/>
        <v>0</v>
      </c>
      <c r="BE174" s="7">
        <f t="shared" si="7"/>
        <v>0</v>
      </c>
      <c r="BF174" s="7">
        <f t="shared" si="8"/>
        <v>0</v>
      </c>
    </row>
    <row r="175" spans="2:58" hidden="1" x14ac:dyDescent="0.2">
      <c r="B175" s="252"/>
      <c r="C175" s="252"/>
      <c r="D175" s="256"/>
      <c r="E175" s="257"/>
      <c r="F175" s="257"/>
      <c r="G175" s="257"/>
      <c r="H175" s="257"/>
      <c r="I175" s="257"/>
      <c r="J175" s="258"/>
      <c r="K175" s="241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  <c r="AM175" s="242"/>
      <c r="AN175" s="242"/>
      <c r="AO175" s="242"/>
      <c r="AP175" s="242"/>
      <c r="AQ175" s="242"/>
      <c r="AR175" s="242"/>
      <c r="AS175" s="243"/>
      <c r="AT175" s="252"/>
      <c r="AU175" s="252"/>
      <c r="AV175" s="252"/>
      <c r="AW175" s="252"/>
      <c r="AX175" s="252"/>
      <c r="AY175" s="252"/>
      <c r="BC175" s="7">
        <f t="shared" si="5"/>
        <v>0</v>
      </c>
      <c r="BD175" s="7">
        <f t="shared" si="6"/>
        <v>0</v>
      </c>
      <c r="BE175" s="7">
        <f t="shared" si="7"/>
        <v>0</v>
      </c>
      <c r="BF175" s="7">
        <f t="shared" si="8"/>
        <v>0</v>
      </c>
    </row>
    <row r="176" spans="2:58" hidden="1" x14ac:dyDescent="0.2">
      <c r="B176" s="252"/>
      <c r="C176" s="252"/>
      <c r="D176" s="256"/>
      <c r="E176" s="257"/>
      <c r="F176" s="257"/>
      <c r="G176" s="257"/>
      <c r="H176" s="257"/>
      <c r="I176" s="257"/>
      <c r="J176" s="258"/>
      <c r="K176" s="241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  <c r="AM176" s="242"/>
      <c r="AN176" s="242"/>
      <c r="AO176" s="242"/>
      <c r="AP176" s="242"/>
      <c r="AQ176" s="242"/>
      <c r="AR176" s="242"/>
      <c r="AS176" s="243"/>
      <c r="AT176" s="252"/>
      <c r="AU176" s="252"/>
      <c r="AV176" s="252"/>
      <c r="AW176" s="252"/>
      <c r="AX176" s="252"/>
      <c r="AY176" s="252"/>
      <c r="BC176" s="7">
        <f t="shared" si="5"/>
        <v>0</v>
      </c>
      <c r="BD176" s="7">
        <f t="shared" si="6"/>
        <v>0</v>
      </c>
      <c r="BE176" s="7">
        <f t="shared" si="7"/>
        <v>0</v>
      </c>
      <c r="BF176" s="7">
        <f t="shared" si="8"/>
        <v>0</v>
      </c>
    </row>
    <row r="177" spans="2:58" hidden="1" x14ac:dyDescent="0.2">
      <c r="B177" s="252"/>
      <c r="C177" s="252"/>
      <c r="D177" s="256"/>
      <c r="E177" s="257"/>
      <c r="F177" s="257"/>
      <c r="G177" s="257"/>
      <c r="H177" s="257"/>
      <c r="I177" s="257"/>
      <c r="J177" s="258"/>
      <c r="K177" s="241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  <c r="AM177" s="242"/>
      <c r="AN177" s="242"/>
      <c r="AO177" s="242"/>
      <c r="AP177" s="242"/>
      <c r="AQ177" s="242"/>
      <c r="AR177" s="242"/>
      <c r="AS177" s="243"/>
      <c r="AT177" s="252"/>
      <c r="AU177" s="252"/>
      <c r="AV177" s="252"/>
      <c r="AW177" s="252"/>
      <c r="AX177" s="252"/>
      <c r="AY177" s="252"/>
      <c r="BC177" s="7">
        <f t="shared" si="5"/>
        <v>0</v>
      </c>
      <c r="BD177" s="7">
        <f t="shared" si="6"/>
        <v>0</v>
      </c>
      <c r="BE177" s="7">
        <f t="shared" si="7"/>
        <v>0</v>
      </c>
      <c r="BF177" s="7">
        <f t="shared" si="8"/>
        <v>0</v>
      </c>
    </row>
    <row r="178" spans="2:58" hidden="1" x14ac:dyDescent="0.2">
      <c r="B178" s="252"/>
      <c r="C178" s="252"/>
      <c r="D178" s="256"/>
      <c r="E178" s="257"/>
      <c r="F178" s="257"/>
      <c r="G178" s="257"/>
      <c r="H178" s="257"/>
      <c r="I178" s="257"/>
      <c r="J178" s="258"/>
      <c r="K178" s="241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3"/>
      <c r="AT178" s="252"/>
      <c r="AU178" s="252"/>
      <c r="AV178" s="252"/>
      <c r="AW178" s="252"/>
      <c r="AX178" s="252"/>
      <c r="AY178" s="252"/>
      <c r="BC178" s="7">
        <f t="shared" ref="BC178:BC241" si="9">B178</f>
        <v>0</v>
      </c>
      <c r="BD178" s="7">
        <f t="shared" ref="BD178:BD241" si="10">D178</f>
        <v>0</v>
      </c>
      <c r="BE178" s="7">
        <f t="shared" ref="BE178:BE241" si="11">K178</f>
        <v>0</v>
      </c>
      <c r="BF178" s="7">
        <f t="shared" ref="BF178:BF241" si="12">AT178</f>
        <v>0</v>
      </c>
    </row>
    <row r="179" spans="2:58" hidden="1" x14ac:dyDescent="0.2">
      <c r="B179" s="252"/>
      <c r="C179" s="252"/>
      <c r="D179" s="256"/>
      <c r="E179" s="257"/>
      <c r="F179" s="257"/>
      <c r="G179" s="257"/>
      <c r="H179" s="257"/>
      <c r="I179" s="257"/>
      <c r="J179" s="258"/>
      <c r="K179" s="241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3"/>
      <c r="AT179" s="252"/>
      <c r="AU179" s="252"/>
      <c r="AV179" s="252"/>
      <c r="AW179" s="252"/>
      <c r="AX179" s="252"/>
      <c r="AY179" s="252"/>
      <c r="BC179" s="7">
        <f t="shared" si="9"/>
        <v>0</v>
      </c>
      <c r="BD179" s="7">
        <f t="shared" si="10"/>
        <v>0</v>
      </c>
      <c r="BE179" s="7">
        <f t="shared" si="11"/>
        <v>0</v>
      </c>
      <c r="BF179" s="7">
        <f t="shared" si="12"/>
        <v>0</v>
      </c>
    </row>
    <row r="180" spans="2:58" hidden="1" x14ac:dyDescent="0.2">
      <c r="B180" s="252"/>
      <c r="C180" s="252"/>
      <c r="D180" s="256"/>
      <c r="E180" s="257"/>
      <c r="F180" s="257"/>
      <c r="G180" s="257"/>
      <c r="H180" s="257"/>
      <c r="I180" s="257"/>
      <c r="J180" s="258"/>
      <c r="K180" s="241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3"/>
      <c r="AT180" s="252"/>
      <c r="AU180" s="252"/>
      <c r="AV180" s="252"/>
      <c r="AW180" s="252"/>
      <c r="AX180" s="252"/>
      <c r="AY180" s="252"/>
      <c r="BC180" s="7">
        <f t="shared" si="9"/>
        <v>0</v>
      </c>
      <c r="BD180" s="7">
        <f t="shared" si="10"/>
        <v>0</v>
      </c>
      <c r="BE180" s="7">
        <f t="shared" si="11"/>
        <v>0</v>
      </c>
      <c r="BF180" s="7">
        <f t="shared" si="12"/>
        <v>0</v>
      </c>
    </row>
    <row r="181" spans="2:58" hidden="1" x14ac:dyDescent="0.2">
      <c r="B181" s="252"/>
      <c r="C181" s="252"/>
      <c r="D181" s="256"/>
      <c r="E181" s="257"/>
      <c r="F181" s="257"/>
      <c r="G181" s="257"/>
      <c r="H181" s="257"/>
      <c r="I181" s="257"/>
      <c r="J181" s="258"/>
      <c r="K181" s="241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N181" s="242"/>
      <c r="AO181" s="242"/>
      <c r="AP181" s="242"/>
      <c r="AQ181" s="242"/>
      <c r="AR181" s="242"/>
      <c r="AS181" s="243"/>
      <c r="AT181" s="252"/>
      <c r="AU181" s="252"/>
      <c r="AV181" s="252"/>
      <c r="AW181" s="252"/>
      <c r="AX181" s="252"/>
      <c r="AY181" s="252"/>
      <c r="BC181" s="7">
        <f t="shared" si="9"/>
        <v>0</v>
      </c>
      <c r="BD181" s="7">
        <f t="shared" si="10"/>
        <v>0</v>
      </c>
      <c r="BE181" s="7">
        <f t="shared" si="11"/>
        <v>0</v>
      </c>
      <c r="BF181" s="7">
        <f t="shared" si="12"/>
        <v>0</v>
      </c>
    </row>
    <row r="182" spans="2:58" hidden="1" x14ac:dyDescent="0.2">
      <c r="B182" s="252"/>
      <c r="C182" s="252"/>
      <c r="D182" s="256"/>
      <c r="E182" s="257"/>
      <c r="F182" s="257"/>
      <c r="G182" s="257"/>
      <c r="H182" s="257"/>
      <c r="I182" s="257"/>
      <c r="J182" s="258"/>
      <c r="K182" s="241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N182" s="242"/>
      <c r="AO182" s="242"/>
      <c r="AP182" s="242"/>
      <c r="AQ182" s="242"/>
      <c r="AR182" s="242"/>
      <c r="AS182" s="243"/>
      <c r="AT182" s="252"/>
      <c r="AU182" s="252"/>
      <c r="AV182" s="252"/>
      <c r="AW182" s="252"/>
      <c r="AX182" s="252"/>
      <c r="AY182" s="252"/>
      <c r="BC182" s="7">
        <f t="shared" si="9"/>
        <v>0</v>
      </c>
      <c r="BD182" s="7">
        <f t="shared" si="10"/>
        <v>0</v>
      </c>
      <c r="BE182" s="7">
        <f t="shared" si="11"/>
        <v>0</v>
      </c>
      <c r="BF182" s="7">
        <f t="shared" si="12"/>
        <v>0</v>
      </c>
    </row>
    <row r="183" spans="2:58" hidden="1" x14ac:dyDescent="0.2">
      <c r="B183" s="252"/>
      <c r="C183" s="252"/>
      <c r="D183" s="256"/>
      <c r="E183" s="257"/>
      <c r="F183" s="257"/>
      <c r="G183" s="257"/>
      <c r="H183" s="257"/>
      <c r="I183" s="257"/>
      <c r="J183" s="258"/>
      <c r="K183" s="241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N183" s="242"/>
      <c r="AO183" s="242"/>
      <c r="AP183" s="242"/>
      <c r="AQ183" s="242"/>
      <c r="AR183" s="242"/>
      <c r="AS183" s="243"/>
      <c r="AT183" s="252"/>
      <c r="AU183" s="252"/>
      <c r="AV183" s="252"/>
      <c r="AW183" s="252"/>
      <c r="AX183" s="252"/>
      <c r="AY183" s="252"/>
      <c r="BC183" s="7">
        <f t="shared" si="9"/>
        <v>0</v>
      </c>
      <c r="BD183" s="7">
        <f t="shared" si="10"/>
        <v>0</v>
      </c>
      <c r="BE183" s="7">
        <f t="shared" si="11"/>
        <v>0</v>
      </c>
      <c r="BF183" s="7">
        <f t="shared" si="12"/>
        <v>0</v>
      </c>
    </row>
    <row r="184" spans="2:58" hidden="1" x14ac:dyDescent="0.2">
      <c r="B184" s="252"/>
      <c r="C184" s="252"/>
      <c r="D184" s="256"/>
      <c r="E184" s="257"/>
      <c r="F184" s="257"/>
      <c r="G184" s="257"/>
      <c r="H184" s="257"/>
      <c r="I184" s="257"/>
      <c r="J184" s="258"/>
      <c r="K184" s="241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  <c r="AM184" s="242"/>
      <c r="AN184" s="242"/>
      <c r="AO184" s="242"/>
      <c r="AP184" s="242"/>
      <c r="AQ184" s="242"/>
      <c r="AR184" s="242"/>
      <c r="AS184" s="243"/>
      <c r="AT184" s="252"/>
      <c r="AU184" s="252"/>
      <c r="AV184" s="252"/>
      <c r="AW184" s="252"/>
      <c r="AX184" s="252"/>
      <c r="AY184" s="252"/>
      <c r="BC184" s="7">
        <f t="shared" si="9"/>
        <v>0</v>
      </c>
      <c r="BD184" s="7">
        <f t="shared" si="10"/>
        <v>0</v>
      </c>
      <c r="BE184" s="7">
        <f t="shared" si="11"/>
        <v>0</v>
      </c>
      <c r="BF184" s="7">
        <f t="shared" si="12"/>
        <v>0</v>
      </c>
    </row>
    <row r="185" spans="2:58" hidden="1" x14ac:dyDescent="0.2">
      <c r="B185" s="252"/>
      <c r="C185" s="252"/>
      <c r="D185" s="256"/>
      <c r="E185" s="257"/>
      <c r="F185" s="257"/>
      <c r="G185" s="257"/>
      <c r="H185" s="257"/>
      <c r="I185" s="257"/>
      <c r="J185" s="258"/>
      <c r="K185" s="241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  <c r="AM185" s="242"/>
      <c r="AN185" s="242"/>
      <c r="AO185" s="242"/>
      <c r="AP185" s="242"/>
      <c r="AQ185" s="242"/>
      <c r="AR185" s="242"/>
      <c r="AS185" s="243"/>
      <c r="AT185" s="252"/>
      <c r="AU185" s="252"/>
      <c r="AV185" s="252"/>
      <c r="AW185" s="252"/>
      <c r="AX185" s="252"/>
      <c r="AY185" s="252"/>
      <c r="BC185" s="7">
        <f t="shared" si="9"/>
        <v>0</v>
      </c>
      <c r="BD185" s="7">
        <f t="shared" si="10"/>
        <v>0</v>
      </c>
      <c r="BE185" s="7">
        <f t="shared" si="11"/>
        <v>0</v>
      </c>
      <c r="BF185" s="7">
        <f t="shared" si="12"/>
        <v>0</v>
      </c>
    </row>
    <row r="186" spans="2:58" hidden="1" x14ac:dyDescent="0.2">
      <c r="B186" s="252"/>
      <c r="C186" s="252"/>
      <c r="D186" s="256"/>
      <c r="E186" s="257"/>
      <c r="F186" s="257"/>
      <c r="G186" s="257"/>
      <c r="H186" s="257"/>
      <c r="I186" s="257"/>
      <c r="J186" s="258"/>
      <c r="K186" s="241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  <c r="AM186" s="242"/>
      <c r="AN186" s="242"/>
      <c r="AO186" s="242"/>
      <c r="AP186" s="242"/>
      <c r="AQ186" s="242"/>
      <c r="AR186" s="242"/>
      <c r="AS186" s="243"/>
      <c r="AT186" s="252"/>
      <c r="AU186" s="252"/>
      <c r="AV186" s="252"/>
      <c r="AW186" s="252"/>
      <c r="AX186" s="252"/>
      <c r="AY186" s="252"/>
      <c r="BC186" s="7">
        <f t="shared" si="9"/>
        <v>0</v>
      </c>
      <c r="BD186" s="7">
        <f t="shared" si="10"/>
        <v>0</v>
      </c>
      <c r="BE186" s="7">
        <f t="shared" si="11"/>
        <v>0</v>
      </c>
      <c r="BF186" s="7">
        <f t="shared" si="12"/>
        <v>0</v>
      </c>
    </row>
    <row r="187" spans="2:58" hidden="1" x14ac:dyDescent="0.2">
      <c r="B187" s="252"/>
      <c r="C187" s="252"/>
      <c r="D187" s="256"/>
      <c r="E187" s="257"/>
      <c r="F187" s="257"/>
      <c r="G187" s="257"/>
      <c r="H187" s="257"/>
      <c r="I187" s="257"/>
      <c r="J187" s="258"/>
      <c r="K187" s="241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  <c r="AM187" s="242"/>
      <c r="AN187" s="242"/>
      <c r="AO187" s="242"/>
      <c r="AP187" s="242"/>
      <c r="AQ187" s="242"/>
      <c r="AR187" s="242"/>
      <c r="AS187" s="243"/>
      <c r="AT187" s="252"/>
      <c r="AU187" s="252"/>
      <c r="AV187" s="252"/>
      <c r="AW187" s="252"/>
      <c r="AX187" s="252"/>
      <c r="AY187" s="252"/>
      <c r="BC187" s="7">
        <f t="shared" si="9"/>
        <v>0</v>
      </c>
      <c r="BD187" s="7">
        <f t="shared" si="10"/>
        <v>0</v>
      </c>
      <c r="BE187" s="7">
        <f t="shared" si="11"/>
        <v>0</v>
      </c>
      <c r="BF187" s="7">
        <f t="shared" si="12"/>
        <v>0</v>
      </c>
    </row>
    <row r="188" spans="2:58" hidden="1" x14ac:dyDescent="0.2">
      <c r="B188" s="252"/>
      <c r="C188" s="252"/>
      <c r="D188" s="256"/>
      <c r="E188" s="257"/>
      <c r="F188" s="257"/>
      <c r="G188" s="257"/>
      <c r="H188" s="257"/>
      <c r="I188" s="257"/>
      <c r="J188" s="258"/>
      <c r="K188" s="241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  <c r="AM188" s="242"/>
      <c r="AN188" s="242"/>
      <c r="AO188" s="242"/>
      <c r="AP188" s="242"/>
      <c r="AQ188" s="242"/>
      <c r="AR188" s="242"/>
      <c r="AS188" s="243"/>
      <c r="AT188" s="252"/>
      <c r="AU188" s="252"/>
      <c r="AV188" s="252"/>
      <c r="AW188" s="252"/>
      <c r="AX188" s="252"/>
      <c r="AY188" s="252"/>
      <c r="BC188" s="7">
        <f t="shared" si="9"/>
        <v>0</v>
      </c>
      <c r="BD188" s="7">
        <f t="shared" si="10"/>
        <v>0</v>
      </c>
      <c r="BE188" s="7">
        <f t="shared" si="11"/>
        <v>0</v>
      </c>
      <c r="BF188" s="7">
        <f t="shared" si="12"/>
        <v>0</v>
      </c>
    </row>
    <row r="189" spans="2:58" hidden="1" x14ac:dyDescent="0.2">
      <c r="B189" s="252"/>
      <c r="C189" s="252"/>
      <c r="D189" s="256"/>
      <c r="E189" s="257"/>
      <c r="F189" s="257"/>
      <c r="G189" s="257"/>
      <c r="H189" s="257"/>
      <c r="I189" s="257"/>
      <c r="J189" s="258"/>
      <c r="K189" s="241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  <c r="AM189" s="242"/>
      <c r="AN189" s="242"/>
      <c r="AO189" s="242"/>
      <c r="AP189" s="242"/>
      <c r="AQ189" s="242"/>
      <c r="AR189" s="242"/>
      <c r="AS189" s="243"/>
      <c r="AT189" s="252"/>
      <c r="AU189" s="252"/>
      <c r="AV189" s="252"/>
      <c r="AW189" s="252"/>
      <c r="AX189" s="252"/>
      <c r="AY189" s="252"/>
      <c r="BC189" s="7">
        <f t="shared" si="9"/>
        <v>0</v>
      </c>
      <c r="BD189" s="7">
        <f t="shared" si="10"/>
        <v>0</v>
      </c>
      <c r="BE189" s="7">
        <f t="shared" si="11"/>
        <v>0</v>
      </c>
      <c r="BF189" s="7">
        <f t="shared" si="12"/>
        <v>0</v>
      </c>
    </row>
    <row r="190" spans="2:58" hidden="1" x14ac:dyDescent="0.2">
      <c r="B190" s="252"/>
      <c r="C190" s="252"/>
      <c r="D190" s="256"/>
      <c r="E190" s="257"/>
      <c r="F190" s="257"/>
      <c r="G190" s="257"/>
      <c r="H190" s="257"/>
      <c r="I190" s="257"/>
      <c r="J190" s="258"/>
      <c r="K190" s="241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  <c r="AM190" s="242"/>
      <c r="AN190" s="242"/>
      <c r="AO190" s="242"/>
      <c r="AP190" s="242"/>
      <c r="AQ190" s="242"/>
      <c r="AR190" s="242"/>
      <c r="AS190" s="243"/>
      <c r="AT190" s="252"/>
      <c r="AU190" s="252"/>
      <c r="AV190" s="252"/>
      <c r="AW190" s="252"/>
      <c r="AX190" s="252"/>
      <c r="AY190" s="252"/>
      <c r="BC190" s="7">
        <f t="shared" si="9"/>
        <v>0</v>
      </c>
      <c r="BD190" s="7">
        <f t="shared" si="10"/>
        <v>0</v>
      </c>
      <c r="BE190" s="7">
        <f t="shared" si="11"/>
        <v>0</v>
      </c>
      <c r="BF190" s="7">
        <f t="shared" si="12"/>
        <v>0</v>
      </c>
    </row>
    <row r="191" spans="2:58" hidden="1" x14ac:dyDescent="0.2">
      <c r="B191" s="252"/>
      <c r="C191" s="252"/>
      <c r="D191" s="256"/>
      <c r="E191" s="257"/>
      <c r="F191" s="257"/>
      <c r="G191" s="257"/>
      <c r="H191" s="257"/>
      <c r="I191" s="257"/>
      <c r="J191" s="258"/>
      <c r="K191" s="241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  <c r="AM191" s="242"/>
      <c r="AN191" s="242"/>
      <c r="AO191" s="242"/>
      <c r="AP191" s="242"/>
      <c r="AQ191" s="242"/>
      <c r="AR191" s="242"/>
      <c r="AS191" s="243"/>
      <c r="AT191" s="252"/>
      <c r="AU191" s="252"/>
      <c r="AV191" s="252"/>
      <c r="AW191" s="252"/>
      <c r="AX191" s="252"/>
      <c r="AY191" s="252"/>
      <c r="BC191" s="7">
        <f t="shared" si="9"/>
        <v>0</v>
      </c>
      <c r="BD191" s="7">
        <f t="shared" si="10"/>
        <v>0</v>
      </c>
      <c r="BE191" s="7">
        <f t="shared" si="11"/>
        <v>0</v>
      </c>
      <c r="BF191" s="7">
        <f t="shared" si="12"/>
        <v>0</v>
      </c>
    </row>
    <row r="192" spans="2:58" hidden="1" x14ac:dyDescent="0.2">
      <c r="B192" s="252"/>
      <c r="C192" s="252"/>
      <c r="D192" s="256"/>
      <c r="E192" s="257"/>
      <c r="F192" s="257"/>
      <c r="G192" s="257"/>
      <c r="H192" s="257"/>
      <c r="I192" s="257"/>
      <c r="J192" s="258"/>
      <c r="K192" s="241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  <c r="AM192" s="242"/>
      <c r="AN192" s="242"/>
      <c r="AO192" s="242"/>
      <c r="AP192" s="242"/>
      <c r="AQ192" s="242"/>
      <c r="AR192" s="242"/>
      <c r="AS192" s="243"/>
      <c r="AT192" s="252"/>
      <c r="AU192" s="252"/>
      <c r="AV192" s="252"/>
      <c r="AW192" s="252"/>
      <c r="AX192" s="252"/>
      <c r="AY192" s="252"/>
      <c r="BC192" s="7">
        <f t="shared" si="9"/>
        <v>0</v>
      </c>
      <c r="BD192" s="7">
        <f t="shared" si="10"/>
        <v>0</v>
      </c>
      <c r="BE192" s="7">
        <f t="shared" si="11"/>
        <v>0</v>
      </c>
      <c r="BF192" s="7">
        <f t="shared" si="12"/>
        <v>0</v>
      </c>
    </row>
    <row r="193" spans="2:58" hidden="1" x14ac:dyDescent="0.2">
      <c r="B193" s="252"/>
      <c r="C193" s="252"/>
      <c r="D193" s="256"/>
      <c r="E193" s="257"/>
      <c r="F193" s="257"/>
      <c r="G193" s="257"/>
      <c r="H193" s="257"/>
      <c r="I193" s="257"/>
      <c r="J193" s="258"/>
      <c r="K193" s="241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  <c r="AM193" s="242"/>
      <c r="AN193" s="242"/>
      <c r="AO193" s="242"/>
      <c r="AP193" s="242"/>
      <c r="AQ193" s="242"/>
      <c r="AR193" s="242"/>
      <c r="AS193" s="243"/>
      <c r="AT193" s="252"/>
      <c r="AU193" s="252"/>
      <c r="AV193" s="252"/>
      <c r="AW193" s="252"/>
      <c r="AX193" s="252"/>
      <c r="AY193" s="252"/>
      <c r="BC193" s="7">
        <f t="shared" si="9"/>
        <v>0</v>
      </c>
      <c r="BD193" s="7">
        <f t="shared" si="10"/>
        <v>0</v>
      </c>
      <c r="BE193" s="7">
        <f t="shared" si="11"/>
        <v>0</v>
      </c>
      <c r="BF193" s="7">
        <f t="shared" si="12"/>
        <v>0</v>
      </c>
    </row>
    <row r="194" spans="2:58" hidden="1" x14ac:dyDescent="0.2">
      <c r="B194" s="252"/>
      <c r="C194" s="252"/>
      <c r="D194" s="256"/>
      <c r="E194" s="257"/>
      <c r="F194" s="257"/>
      <c r="G194" s="257"/>
      <c r="H194" s="257"/>
      <c r="I194" s="257"/>
      <c r="J194" s="258"/>
      <c r="K194" s="241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  <c r="AM194" s="242"/>
      <c r="AN194" s="242"/>
      <c r="AO194" s="242"/>
      <c r="AP194" s="242"/>
      <c r="AQ194" s="242"/>
      <c r="AR194" s="242"/>
      <c r="AS194" s="243"/>
      <c r="AT194" s="252"/>
      <c r="AU194" s="252"/>
      <c r="AV194" s="252"/>
      <c r="AW194" s="252"/>
      <c r="AX194" s="252"/>
      <c r="AY194" s="252"/>
      <c r="BC194" s="7">
        <f t="shared" si="9"/>
        <v>0</v>
      </c>
      <c r="BD194" s="7">
        <f t="shared" si="10"/>
        <v>0</v>
      </c>
      <c r="BE194" s="7">
        <f t="shared" si="11"/>
        <v>0</v>
      </c>
      <c r="BF194" s="7">
        <f t="shared" si="12"/>
        <v>0</v>
      </c>
    </row>
    <row r="195" spans="2:58" hidden="1" x14ac:dyDescent="0.2">
      <c r="B195" s="252"/>
      <c r="C195" s="252"/>
      <c r="D195" s="256"/>
      <c r="E195" s="257"/>
      <c r="F195" s="257"/>
      <c r="G195" s="257"/>
      <c r="H195" s="257"/>
      <c r="I195" s="257"/>
      <c r="J195" s="258"/>
      <c r="K195" s="241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  <c r="AM195" s="242"/>
      <c r="AN195" s="242"/>
      <c r="AO195" s="242"/>
      <c r="AP195" s="242"/>
      <c r="AQ195" s="242"/>
      <c r="AR195" s="242"/>
      <c r="AS195" s="243"/>
      <c r="AT195" s="252"/>
      <c r="AU195" s="252"/>
      <c r="AV195" s="252"/>
      <c r="AW195" s="252"/>
      <c r="AX195" s="252"/>
      <c r="AY195" s="252"/>
      <c r="BC195" s="7">
        <f t="shared" si="9"/>
        <v>0</v>
      </c>
      <c r="BD195" s="7">
        <f t="shared" si="10"/>
        <v>0</v>
      </c>
      <c r="BE195" s="7">
        <f t="shared" si="11"/>
        <v>0</v>
      </c>
      <c r="BF195" s="7">
        <f t="shared" si="12"/>
        <v>0</v>
      </c>
    </row>
    <row r="196" spans="2:58" hidden="1" x14ac:dyDescent="0.2">
      <c r="B196" s="252"/>
      <c r="C196" s="252"/>
      <c r="D196" s="256"/>
      <c r="E196" s="257"/>
      <c r="F196" s="257"/>
      <c r="G196" s="257"/>
      <c r="H196" s="257"/>
      <c r="I196" s="257"/>
      <c r="J196" s="258"/>
      <c r="K196" s="241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  <c r="AM196" s="242"/>
      <c r="AN196" s="242"/>
      <c r="AO196" s="242"/>
      <c r="AP196" s="242"/>
      <c r="AQ196" s="242"/>
      <c r="AR196" s="242"/>
      <c r="AS196" s="243"/>
      <c r="AT196" s="252"/>
      <c r="AU196" s="252"/>
      <c r="AV196" s="252"/>
      <c r="AW196" s="252"/>
      <c r="AX196" s="252"/>
      <c r="AY196" s="252"/>
      <c r="BC196" s="7">
        <f t="shared" si="9"/>
        <v>0</v>
      </c>
      <c r="BD196" s="7">
        <f t="shared" si="10"/>
        <v>0</v>
      </c>
      <c r="BE196" s="7">
        <f t="shared" si="11"/>
        <v>0</v>
      </c>
      <c r="BF196" s="7">
        <f t="shared" si="12"/>
        <v>0</v>
      </c>
    </row>
    <row r="197" spans="2:58" hidden="1" x14ac:dyDescent="0.2">
      <c r="B197" s="252"/>
      <c r="C197" s="252"/>
      <c r="D197" s="256"/>
      <c r="E197" s="257"/>
      <c r="F197" s="257"/>
      <c r="G197" s="257"/>
      <c r="H197" s="257"/>
      <c r="I197" s="257"/>
      <c r="J197" s="258"/>
      <c r="K197" s="241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  <c r="AM197" s="242"/>
      <c r="AN197" s="242"/>
      <c r="AO197" s="242"/>
      <c r="AP197" s="242"/>
      <c r="AQ197" s="242"/>
      <c r="AR197" s="242"/>
      <c r="AS197" s="243"/>
      <c r="AT197" s="252"/>
      <c r="AU197" s="252"/>
      <c r="AV197" s="252"/>
      <c r="AW197" s="252"/>
      <c r="AX197" s="252"/>
      <c r="AY197" s="252"/>
      <c r="BC197" s="7">
        <f t="shared" si="9"/>
        <v>0</v>
      </c>
      <c r="BD197" s="7">
        <f t="shared" si="10"/>
        <v>0</v>
      </c>
      <c r="BE197" s="7">
        <f t="shared" si="11"/>
        <v>0</v>
      </c>
      <c r="BF197" s="7">
        <f t="shared" si="12"/>
        <v>0</v>
      </c>
    </row>
    <row r="198" spans="2:58" hidden="1" x14ac:dyDescent="0.2">
      <c r="B198" s="252"/>
      <c r="C198" s="252"/>
      <c r="D198" s="256"/>
      <c r="E198" s="257"/>
      <c r="F198" s="257"/>
      <c r="G198" s="257"/>
      <c r="H198" s="257"/>
      <c r="I198" s="257"/>
      <c r="J198" s="258"/>
      <c r="K198" s="241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  <c r="AM198" s="242"/>
      <c r="AN198" s="242"/>
      <c r="AO198" s="242"/>
      <c r="AP198" s="242"/>
      <c r="AQ198" s="242"/>
      <c r="AR198" s="242"/>
      <c r="AS198" s="243"/>
      <c r="AT198" s="252"/>
      <c r="AU198" s="252"/>
      <c r="AV198" s="252"/>
      <c r="AW198" s="252"/>
      <c r="AX198" s="252"/>
      <c r="AY198" s="252"/>
      <c r="BC198" s="7">
        <f t="shared" si="9"/>
        <v>0</v>
      </c>
      <c r="BD198" s="7">
        <f t="shared" si="10"/>
        <v>0</v>
      </c>
      <c r="BE198" s="7">
        <f t="shared" si="11"/>
        <v>0</v>
      </c>
      <c r="BF198" s="7">
        <f t="shared" si="12"/>
        <v>0</v>
      </c>
    </row>
    <row r="199" spans="2:58" hidden="1" x14ac:dyDescent="0.2">
      <c r="B199" s="252"/>
      <c r="C199" s="252"/>
      <c r="D199" s="256"/>
      <c r="E199" s="257"/>
      <c r="F199" s="257"/>
      <c r="G199" s="257"/>
      <c r="H199" s="257"/>
      <c r="I199" s="257"/>
      <c r="J199" s="258"/>
      <c r="K199" s="241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  <c r="AM199" s="242"/>
      <c r="AN199" s="242"/>
      <c r="AO199" s="242"/>
      <c r="AP199" s="242"/>
      <c r="AQ199" s="242"/>
      <c r="AR199" s="242"/>
      <c r="AS199" s="243"/>
      <c r="AT199" s="252"/>
      <c r="AU199" s="252"/>
      <c r="AV199" s="252"/>
      <c r="AW199" s="252"/>
      <c r="AX199" s="252"/>
      <c r="AY199" s="252"/>
      <c r="BC199" s="7">
        <f t="shared" si="9"/>
        <v>0</v>
      </c>
      <c r="BD199" s="7">
        <f t="shared" si="10"/>
        <v>0</v>
      </c>
      <c r="BE199" s="7">
        <f t="shared" si="11"/>
        <v>0</v>
      </c>
      <c r="BF199" s="7">
        <f t="shared" si="12"/>
        <v>0</v>
      </c>
    </row>
    <row r="200" spans="2:58" hidden="1" x14ac:dyDescent="0.2">
      <c r="B200" s="252"/>
      <c r="C200" s="252"/>
      <c r="D200" s="256"/>
      <c r="E200" s="257"/>
      <c r="F200" s="257"/>
      <c r="G200" s="257"/>
      <c r="H200" s="257"/>
      <c r="I200" s="257"/>
      <c r="J200" s="258"/>
      <c r="K200" s="241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  <c r="AM200" s="242"/>
      <c r="AN200" s="242"/>
      <c r="AO200" s="242"/>
      <c r="AP200" s="242"/>
      <c r="AQ200" s="242"/>
      <c r="AR200" s="242"/>
      <c r="AS200" s="243"/>
      <c r="AT200" s="252"/>
      <c r="AU200" s="252"/>
      <c r="AV200" s="252"/>
      <c r="AW200" s="252"/>
      <c r="AX200" s="252"/>
      <c r="AY200" s="252"/>
      <c r="BC200" s="7">
        <f t="shared" si="9"/>
        <v>0</v>
      </c>
      <c r="BD200" s="7">
        <f t="shared" si="10"/>
        <v>0</v>
      </c>
      <c r="BE200" s="7">
        <f t="shared" si="11"/>
        <v>0</v>
      </c>
      <c r="BF200" s="7">
        <f t="shared" si="12"/>
        <v>0</v>
      </c>
    </row>
    <row r="201" spans="2:58" hidden="1" x14ac:dyDescent="0.2">
      <c r="B201" s="252"/>
      <c r="C201" s="252"/>
      <c r="D201" s="256"/>
      <c r="E201" s="257"/>
      <c r="F201" s="257"/>
      <c r="G201" s="257"/>
      <c r="H201" s="257"/>
      <c r="I201" s="257"/>
      <c r="J201" s="258"/>
      <c r="K201" s="241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  <c r="AM201" s="242"/>
      <c r="AN201" s="242"/>
      <c r="AO201" s="242"/>
      <c r="AP201" s="242"/>
      <c r="AQ201" s="242"/>
      <c r="AR201" s="242"/>
      <c r="AS201" s="243"/>
      <c r="AT201" s="252"/>
      <c r="AU201" s="252"/>
      <c r="AV201" s="252"/>
      <c r="AW201" s="252"/>
      <c r="AX201" s="252"/>
      <c r="AY201" s="252"/>
      <c r="BC201" s="7">
        <f t="shared" si="9"/>
        <v>0</v>
      </c>
      <c r="BD201" s="7">
        <f t="shared" si="10"/>
        <v>0</v>
      </c>
      <c r="BE201" s="7">
        <f t="shared" si="11"/>
        <v>0</v>
      </c>
      <c r="BF201" s="7">
        <f t="shared" si="12"/>
        <v>0</v>
      </c>
    </row>
    <row r="202" spans="2:58" hidden="1" x14ac:dyDescent="0.2">
      <c r="B202" s="252"/>
      <c r="C202" s="252"/>
      <c r="D202" s="256"/>
      <c r="E202" s="257"/>
      <c r="F202" s="257"/>
      <c r="G202" s="257"/>
      <c r="H202" s="257"/>
      <c r="I202" s="257"/>
      <c r="J202" s="258"/>
      <c r="K202" s="241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  <c r="AM202" s="242"/>
      <c r="AN202" s="242"/>
      <c r="AO202" s="242"/>
      <c r="AP202" s="242"/>
      <c r="AQ202" s="242"/>
      <c r="AR202" s="242"/>
      <c r="AS202" s="243"/>
      <c r="AT202" s="252"/>
      <c r="AU202" s="252"/>
      <c r="AV202" s="252"/>
      <c r="AW202" s="252"/>
      <c r="AX202" s="252"/>
      <c r="AY202" s="252"/>
      <c r="BC202" s="7">
        <f t="shared" si="9"/>
        <v>0</v>
      </c>
      <c r="BD202" s="7">
        <f t="shared" si="10"/>
        <v>0</v>
      </c>
      <c r="BE202" s="7">
        <f t="shared" si="11"/>
        <v>0</v>
      </c>
      <c r="BF202" s="7">
        <f t="shared" si="12"/>
        <v>0</v>
      </c>
    </row>
    <row r="203" spans="2:58" hidden="1" x14ac:dyDescent="0.2">
      <c r="B203" s="252"/>
      <c r="C203" s="252"/>
      <c r="D203" s="256"/>
      <c r="E203" s="257"/>
      <c r="F203" s="257"/>
      <c r="G203" s="257"/>
      <c r="H203" s="257"/>
      <c r="I203" s="257"/>
      <c r="J203" s="258"/>
      <c r="K203" s="241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  <c r="AM203" s="242"/>
      <c r="AN203" s="242"/>
      <c r="AO203" s="242"/>
      <c r="AP203" s="242"/>
      <c r="AQ203" s="242"/>
      <c r="AR203" s="242"/>
      <c r="AS203" s="243"/>
      <c r="AT203" s="252"/>
      <c r="AU203" s="252"/>
      <c r="AV203" s="252"/>
      <c r="AW203" s="252"/>
      <c r="AX203" s="252"/>
      <c r="AY203" s="252"/>
      <c r="BC203" s="7">
        <f t="shared" si="9"/>
        <v>0</v>
      </c>
      <c r="BD203" s="7">
        <f t="shared" si="10"/>
        <v>0</v>
      </c>
      <c r="BE203" s="7">
        <f t="shared" si="11"/>
        <v>0</v>
      </c>
      <c r="BF203" s="7">
        <f t="shared" si="12"/>
        <v>0</v>
      </c>
    </row>
    <row r="204" spans="2:58" hidden="1" x14ac:dyDescent="0.2">
      <c r="B204" s="252"/>
      <c r="C204" s="252"/>
      <c r="D204" s="256"/>
      <c r="E204" s="257"/>
      <c r="F204" s="257"/>
      <c r="G204" s="257"/>
      <c r="H204" s="257"/>
      <c r="I204" s="257"/>
      <c r="J204" s="258"/>
      <c r="K204" s="241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  <c r="AM204" s="242"/>
      <c r="AN204" s="242"/>
      <c r="AO204" s="242"/>
      <c r="AP204" s="242"/>
      <c r="AQ204" s="242"/>
      <c r="AR204" s="242"/>
      <c r="AS204" s="243"/>
      <c r="AT204" s="252"/>
      <c r="AU204" s="252"/>
      <c r="AV204" s="252"/>
      <c r="AW204" s="252"/>
      <c r="AX204" s="252"/>
      <c r="AY204" s="252"/>
      <c r="BC204" s="7">
        <f t="shared" si="9"/>
        <v>0</v>
      </c>
      <c r="BD204" s="7">
        <f t="shared" si="10"/>
        <v>0</v>
      </c>
      <c r="BE204" s="7">
        <f t="shared" si="11"/>
        <v>0</v>
      </c>
      <c r="BF204" s="7">
        <f t="shared" si="12"/>
        <v>0</v>
      </c>
    </row>
    <row r="205" spans="2:58" hidden="1" x14ac:dyDescent="0.2">
      <c r="B205" s="252"/>
      <c r="C205" s="252"/>
      <c r="D205" s="256"/>
      <c r="E205" s="257"/>
      <c r="F205" s="257"/>
      <c r="G205" s="257"/>
      <c r="H205" s="257"/>
      <c r="I205" s="257"/>
      <c r="J205" s="258"/>
      <c r="K205" s="241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  <c r="AM205" s="242"/>
      <c r="AN205" s="242"/>
      <c r="AO205" s="242"/>
      <c r="AP205" s="242"/>
      <c r="AQ205" s="242"/>
      <c r="AR205" s="242"/>
      <c r="AS205" s="243"/>
      <c r="AT205" s="252"/>
      <c r="AU205" s="252"/>
      <c r="AV205" s="252"/>
      <c r="AW205" s="252"/>
      <c r="AX205" s="252"/>
      <c r="AY205" s="252"/>
      <c r="BC205" s="7">
        <f t="shared" si="9"/>
        <v>0</v>
      </c>
      <c r="BD205" s="7">
        <f t="shared" si="10"/>
        <v>0</v>
      </c>
      <c r="BE205" s="7">
        <f t="shared" si="11"/>
        <v>0</v>
      </c>
      <c r="BF205" s="7">
        <f t="shared" si="12"/>
        <v>0</v>
      </c>
    </row>
    <row r="206" spans="2:58" hidden="1" x14ac:dyDescent="0.2">
      <c r="B206" s="252"/>
      <c r="C206" s="252"/>
      <c r="D206" s="256"/>
      <c r="E206" s="257"/>
      <c r="F206" s="257"/>
      <c r="G206" s="257"/>
      <c r="H206" s="257"/>
      <c r="I206" s="257"/>
      <c r="J206" s="258"/>
      <c r="K206" s="241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N206" s="242"/>
      <c r="AO206" s="242"/>
      <c r="AP206" s="242"/>
      <c r="AQ206" s="242"/>
      <c r="AR206" s="242"/>
      <c r="AS206" s="243"/>
      <c r="AT206" s="252"/>
      <c r="AU206" s="252"/>
      <c r="AV206" s="252"/>
      <c r="AW206" s="252"/>
      <c r="AX206" s="252"/>
      <c r="AY206" s="252"/>
      <c r="BC206" s="7">
        <f t="shared" si="9"/>
        <v>0</v>
      </c>
      <c r="BD206" s="7">
        <f t="shared" si="10"/>
        <v>0</v>
      </c>
      <c r="BE206" s="7">
        <f t="shared" si="11"/>
        <v>0</v>
      </c>
      <c r="BF206" s="7">
        <f t="shared" si="12"/>
        <v>0</v>
      </c>
    </row>
    <row r="207" spans="2:58" hidden="1" x14ac:dyDescent="0.2">
      <c r="B207" s="252"/>
      <c r="C207" s="252"/>
      <c r="D207" s="256"/>
      <c r="E207" s="257"/>
      <c r="F207" s="257"/>
      <c r="G207" s="257"/>
      <c r="H207" s="257"/>
      <c r="I207" s="257"/>
      <c r="J207" s="258"/>
      <c r="K207" s="241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  <c r="AM207" s="242"/>
      <c r="AN207" s="242"/>
      <c r="AO207" s="242"/>
      <c r="AP207" s="242"/>
      <c r="AQ207" s="242"/>
      <c r="AR207" s="242"/>
      <c r="AS207" s="243"/>
      <c r="AT207" s="252"/>
      <c r="AU207" s="252"/>
      <c r="AV207" s="252"/>
      <c r="AW207" s="252"/>
      <c r="AX207" s="252"/>
      <c r="AY207" s="252"/>
      <c r="BC207" s="7">
        <f t="shared" si="9"/>
        <v>0</v>
      </c>
      <c r="BD207" s="7">
        <f t="shared" si="10"/>
        <v>0</v>
      </c>
      <c r="BE207" s="7">
        <f t="shared" si="11"/>
        <v>0</v>
      </c>
      <c r="BF207" s="7">
        <f t="shared" si="12"/>
        <v>0</v>
      </c>
    </row>
    <row r="208" spans="2:58" hidden="1" x14ac:dyDescent="0.2">
      <c r="B208" s="252"/>
      <c r="C208" s="252"/>
      <c r="D208" s="256"/>
      <c r="E208" s="257"/>
      <c r="F208" s="257"/>
      <c r="G208" s="257"/>
      <c r="H208" s="257"/>
      <c r="I208" s="257"/>
      <c r="J208" s="258"/>
      <c r="K208" s="241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  <c r="AM208" s="242"/>
      <c r="AN208" s="242"/>
      <c r="AO208" s="242"/>
      <c r="AP208" s="242"/>
      <c r="AQ208" s="242"/>
      <c r="AR208" s="242"/>
      <c r="AS208" s="243"/>
      <c r="AT208" s="252"/>
      <c r="AU208" s="252"/>
      <c r="AV208" s="252"/>
      <c r="AW208" s="252"/>
      <c r="AX208" s="252"/>
      <c r="AY208" s="252"/>
      <c r="BC208" s="7">
        <f t="shared" si="9"/>
        <v>0</v>
      </c>
      <c r="BD208" s="7">
        <f t="shared" si="10"/>
        <v>0</v>
      </c>
      <c r="BE208" s="7">
        <f t="shared" si="11"/>
        <v>0</v>
      </c>
      <c r="BF208" s="7">
        <f t="shared" si="12"/>
        <v>0</v>
      </c>
    </row>
    <row r="209" spans="2:58" hidden="1" x14ac:dyDescent="0.2">
      <c r="B209" s="252"/>
      <c r="C209" s="252"/>
      <c r="D209" s="256"/>
      <c r="E209" s="257"/>
      <c r="F209" s="257"/>
      <c r="G209" s="257"/>
      <c r="H209" s="257"/>
      <c r="I209" s="257"/>
      <c r="J209" s="258"/>
      <c r="K209" s="241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3"/>
      <c r="AT209" s="252"/>
      <c r="AU209" s="252"/>
      <c r="AV209" s="252"/>
      <c r="AW209" s="252"/>
      <c r="AX209" s="252"/>
      <c r="AY209" s="252"/>
      <c r="BC209" s="7">
        <f t="shared" si="9"/>
        <v>0</v>
      </c>
      <c r="BD209" s="7">
        <f t="shared" si="10"/>
        <v>0</v>
      </c>
      <c r="BE209" s="7">
        <f t="shared" si="11"/>
        <v>0</v>
      </c>
      <c r="BF209" s="7">
        <f t="shared" si="12"/>
        <v>0</v>
      </c>
    </row>
    <row r="210" spans="2:58" hidden="1" x14ac:dyDescent="0.2">
      <c r="B210" s="252"/>
      <c r="C210" s="252"/>
      <c r="D210" s="256"/>
      <c r="E210" s="257"/>
      <c r="F210" s="257"/>
      <c r="G210" s="257"/>
      <c r="H210" s="257"/>
      <c r="I210" s="257"/>
      <c r="J210" s="258"/>
      <c r="K210" s="241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  <c r="AM210" s="242"/>
      <c r="AN210" s="242"/>
      <c r="AO210" s="242"/>
      <c r="AP210" s="242"/>
      <c r="AQ210" s="242"/>
      <c r="AR210" s="242"/>
      <c r="AS210" s="243"/>
      <c r="AT210" s="252"/>
      <c r="AU210" s="252"/>
      <c r="AV210" s="252"/>
      <c r="AW210" s="252"/>
      <c r="AX210" s="252"/>
      <c r="AY210" s="252"/>
      <c r="BC210" s="7">
        <f t="shared" si="9"/>
        <v>0</v>
      </c>
      <c r="BD210" s="7">
        <f t="shared" si="10"/>
        <v>0</v>
      </c>
      <c r="BE210" s="7">
        <f t="shared" si="11"/>
        <v>0</v>
      </c>
      <c r="BF210" s="7">
        <f t="shared" si="12"/>
        <v>0</v>
      </c>
    </row>
    <row r="211" spans="2:58" hidden="1" x14ac:dyDescent="0.2">
      <c r="B211" s="252"/>
      <c r="C211" s="252"/>
      <c r="D211" s="256"/>
      <c r="E211" s="257"/>
      <c r="F211" s="257"/>
      <c r="G211" s="257"/>
      <c r="H211" s="257"/>
      <c r="I211" s="257"/>
      <c r="J211" s="258"/>
      <c r="K211" s="241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N211" s="242"/>
      <c r="AO211" s="242"/>
      <c r="AP211" s="242"/>
      <c r="AQ211" s="242"/>
      <c r="AR211" s="242"/>
      <c r="AS211" s="243"/>
      <c r="AT211" s="252"/>
      <c r="AU211" s="252"/>
      <c r="AV211" s="252"/>
      <c r="AW211" s="252"/>
      <c r="AX211" s="252"/>
      <c r="AY211" s="252"/>
      <c r="BC211" s="7">
        <f t="shared" si="9"/>
        <v>0</v>
      </c>
      <c r="BD211" s="7">
        <f t="shared" si="10"/>
        <v>0</v>
      </c>
      <c r="BE211" s="7">
        <f t="shared" si="11"/>
        <v>0</v>
      </c>
      <c r="BF211" s="7">
        <f t="shared" si="12"/>
        <v>0</v>
      </c>
    </row>
    <row r="212" spans="2:58" hidden="1" x14ac:dyDescent="0.2">
      <c r="B212" s="252"/>
      <c r="C212" s="252"/>
      <c r="D212" s="256"/>
      <c r="E212" s="257"/>
      <c r="F212" s="257"/>
      <c r="G212" s="257"/>
      <c r="H212" s="257"/>
      <c r="I212" s="257"/>
      <c r="J212" s="258"/>
      <c r="K212" s="241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  <c r="AM212" s="242"/>
      <c r="AN212" s="242"/>
      <c r="AO212" s="242"/>
      <c r="AP212" s="242"/>
      <c r="AQ212" s="242"/>
      <c r="AR212" s="242"/>
      <c r="AS212" s="243"/>
      <c r="AT212" s="252"/>
      <c r="AU212" s="252"/>
      <c r="AV212" s="252"/>
      <c r="AW212" s="252"/>
      <c r="AX212" s="252"/>
      <c r="AY212" s="252"/>
      <c r="BC212" s="7">
        <f t="shared" si="9"/>
        <v>0</v>
      </c>
      <c r="BD212" s="7">
        <f t="shared" si="10"/>
        <v>0</v>
      </c>
      <c r="BE212" s="7">
        <f t="shared" si="11"/>
        <v>0</v>
      </c>
      <c r="BF212" s="7">
        <f t="shared" si="12"/>
        <v>0</v>
      </c>
    </row>
    <row r="213" spans="2:58" hidden="1" x14ac:dyDescent="0.2">
      <c r="B213" s="252"/>
      <c r="C213" s="252"/>
      <c r="D213" s="256"/>
      <c r="E213" s="257"/>
      <c r="F213" s="257"/>
      <c r="G213" s="257"/>
      <c r="H213" s="257"/>
      <c r="I213" s="257"/>
      <c r="J213" s="258"/>
      <c r="K213" s="241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  <c r="AM213" s="242"/>
      <c r="AN213" s="242"/>
      <c r="AO213" s="242"/>
      <c r="AP213" s="242"/>
      <c r="AQ213" s="242"/>
      <c r="AR213" s="242"/>
      <c r="AS213" s="243"/>
      <c r="AT213" s="252"/>
      <c r="AU213" s="252"/>
      <c r="AV213" s="252"/>
      <c r="AW213" s="252"/>
      <c r="AX213" s="252"/>
      <c r="AY213" s="252"/>
      <c r="BC213" s="7">
        <f t="shared" si="9"/>
        <v>0</v>
      </c>
      <c r="BD213" s="7">
        <f t="shared" si="10"/>
        <v>0</v>
      </c>
      <c r="BE213" s="7">
        <f t="shared" si="11"/>
        <v>0</v>
      </c>
      <c r="BF213" s="7">
        <f t="shared" si="12"/>
        <v>0</v>
      </c>
    </row>
    <row r="214" spans="2:58" hidden="1" x14ac:dyDescent="0.2">
      <c r="B214" s="252"/>
      <c r="C214" s="252"/>
      <c r="D214" s="256"/>
      <c r="E214" s="257"/>
      <c r="F214" s="257"/>
      <c r="G214" s="257"/>
      <c r="H214" s="257"/>
      <c r="I214" s="257"/>
      <c r="J214" s="258"/>
      <c r="K214" s="241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N214" s="242"/>
      <c r="AO214" s="242"/>
      <c r="AP214" s="242"/>
      <c r="AQ214" s="242"/>
      <c r="AR214" s="242"/>
      <c r="AS214" s="243"/>
      <c r="AT214" s="252"/>
      <c r="AU214" s="252"/>
      <c r="AV214" s="252"/>
      <c r="AW214" s="252"/>
      <c r="AX214" s="252"/>
      <c r="AY214" s="252"/>
      <c r="BC214" s="7">
        <f t="shared" si="9"/>
        <v>0</v>
      </c>
      <c r="BD214" s="7">
        <f t="shared" si="10"/>
        <v>0</v>
      </c>
      <c r="BE214" s="7">
        <f t="shared" si="11"/>
        <v>0</v>
      </c>
      <c r="BF214" s="7">
        <f t="shared" si="12"/>
        <v>0</v>
      </c>
    </row>
    <row r="215" spans="2:58" hidden="1" x14ac:dyDescent="0.2">
      <c r="B215" s="252"/>
      <c r="C215" s="252"/>
      <c r="D215" s="256"/>
      <c r="E215" s="257"/>
      <c r="F215" s="257"/>
      <c r="G215" s="257"/>
      <c r="H215" s="257"/>
      <c r="I215" s="257"/>
      <c r="J215" s="258"/>
      <c r="K215" s="241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  <c r="AM215" s="242"/>
      <c r="AN215" s="242"/>
      <c r="AO215" s="242"/>
      <c r="AP215" s="242"/>
      <c r="AQ215" s="242"/>
      <c r="AR215" s="242"/>
      <c r="AS215" s="243"/>
      <c r="AT215" s="252"/>
      <c r="AU215" s="252"/>
      <c r="AV215" s="252"/>
      <c r="AW215" s="252"/>
      <c r="AX215" s="252"/>
      <c r="AY215" s="252"/>
      <c r="BC215" s="7">
        <f t="shared" si="9"/>
        <v>0</v>
      </c>
      <c r="BD215" s="7">
        <f t="shared" si="10"/>
        <v>0</v>
      </c>
      <c r="BE215" s="7">
        <f t="shared" si="11"/>
        <v>0</v>
      </c>
      <c r="BF215" s="7">
        <f t="shared" si="12"/>
        <v>0</v>
      </c>
    </row>
    <row r="216" spans="2:58" hidden="1" x14ac:dyDescent="0.2">
      <c r="B216" s="252"/>
      <c r="C216" s="252"/>
      <c r="D216" s="256"/>
      <c r="E216" s="257"/>
      <c r="F216" s="257"/>
      <c r="G216" s="257"/>
      <c r="H216" s="257"/>
      <c r="I216" s="257"/>
      <c r="J216" s="258"/>
      <c r="K216" s="241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  <c r="AM216" s="242"/>
      <c r="AN216" s="242"/>
      <c r="AO216" s="242"/>
      <c r="AP216" s="242"/>
      <c r="AQ216" s="242"/>
      <c r="AR216" s="242"/>
      <c r="AS216" s="243"/>
      <c r="AT216" s="252"/>
      <c r="AU216" s="252"/>
      <c r="AV216" s="252"/>
      <c r="AW216" s="252"/>
      <c r="AX216" s="252"/>
      <c r="AY216" s="252"/>
      <c r="BC216" s="7">
        <f t="shared" si="9"/>
        <v>0</v>
      </c>
      <c r="BD216" s="7">
        <f t="shared" si="10"/>
        <v>0</v>
      </c>
      <c r="BE216" s="7">
        <f t="shared" si="11"/>
        <v>0</v>
      </c>
      <c r="BF216" s="7">
        <f t="shared" si="12"/>
        <v>0</v>
      </c>
    </row>
    <row r="217" spans="2:58" hidden="1" x14ac:dyDescent="0.2">
      <c r="B217" s="252"/>
      <c r="C217" s="252"/>
      <c r="D217" s="256"/>
      <c r="E217" s="257"/>
      <c r="F217" s="257"/>
      <c r="G217" s="257"/>
      <c r="H217" s="257"/>
      <c r="I217" s="257"/>
      <c r="J217" s="258"/>
      <c r="K217" s="241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  <c r="AM217" s="242"/>
      <c r="AN217" s="242"/>
      <c r="AO217" s="242"/>
      <c r="AP217" s="242"/>
      <c r="AQ217" s="242"/>
      <c r="AR217" s="242"/>
      <c r="AS217" s="243"/>
      <c r="AT217" s="252"/>
      <c r="AU217" s="252"/>
      <c r="AV217" s="252"/>
      <c r="AW217" s="252"/>
      <c r="AX217" s="252"/>
      <c r="AY217" s="252"/>
      <c r="BC217" s="7">
        <f t="shared" si="9"/>
        <v>0</v>
      </c>
      <c r="BD217" s="7">
        <f t="shared" si="10"/>
        <v>0</v>
      </c>
      <c r="BE217" s="7">
        <f t="shared" si="11"/>
        <v>0</v>
      </c>
      <c r="BF217" s="7">
        <f t="shared" si="12"/>
        <v>0</v>
      </c>
    </row>
    <row r="218" spans="2:58" hidden="1" x14ac:dyDescent="0.2">
      <c r="B218" s="252"/>
      <c r="C218" s="252"/>
      <c r="D218" s="256"/>
      <c r="E218" s="257"/>
      <c r="F218" s="257"/>
      <c r="G218" s="257"/>
      <c r="H218" s="257"/>
      <c r="I218" s="257"/>
      <c r="J218" s="258"/>
      <c r="K218" s="241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  <c r="AM218" s="242"/>
      <c r="AN218" s="242"/>
      <c r="AO218" s="242"/>
      <c r="AP218" s="242"/>
      <c r="AQ218" s="242"/>
      <c r="AR218" s="242"/>
      <c r="AS218" s="243"/>
      <c r="AT218" s="252"/>
      <c r="AU218" s="252"/>
      <c r="AV218" s="252"/>
      <c r="AW218" s="252"/>
      <c r="AX218" s="252"/>
      <c r="AY218" s="252"/>
      <c r="BC218" s="7">
        <f t="shared" si="9"/>
        <v>0</v>
      </c>
      <c r="BD218" s="7">
        <f t="shared" si="10"/>
        <v>0</v>
      </c>
      <c r="BE218" s="7">
        <f t="shared" si="11"/>
        <v>0</v>
      </c>
      <c r="BF218" s="7">
        <f t="shared" si="12"/>
        <v>0</v>
      </c>
    </row>
    <row r="219" spans="2:58" hidden="1" x14ac:dyDescent="0.2">
      <c r="B219" s="252"/>
      <c r="C219" s="252"/>
      <c r="D219" s="256"/>
      <c r="E219" s="257"/>
      <c r="F219" s="257"/>
      <c r="G219" s="257"/>
      <c r="H219" s="257"/>
      <c r="I219" s="257"/>
      <c r="J219" s="258"/>
      <c r="K219" s="241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  <c r="AM219" s="242"/>
      <c r="AN219" s="242"/>
      <c r="AO219" s="242"/>
      <c r="AP219" s="242"/>
      <c r="AQ219" s="242"/>
      <c r="AR219" s="242"/>
      <c r="AS219" s="243"/>
      <c r="AT219" s="252"/>
      <c r="AU219" s="252"/>
      <c r="AV219" s="252"/>
      <c r="AW219" s="252"/>
      <c r="AX219" s="252"/>
      <c r="AY219" s="252"/>
      <c r="BC219" s="7">
        <f t="shared" si="9"/>
        <v>0</v>
      </c>
      <c r="BD219" s="7">
        <f t="shared" si="10"/>
        <v>0</v>
      </c>
      <c r="BE219" s="7">
        <f t="shared" si="11"/>
        <v>0</v>
      </c>
      <c r="BF219" s="7">
        <f t="shared" si="12"/>
        <v>0</v>
      </c>
    </row>
    <row r="220" spans="2:58" hidden="1" x14ac:dyDescent="0.2">
      <c r="B220" s="252"/>
      <c r="C220" s="252"/>
      <c r="D220" s="256"/>
      <c r="E220" s="257"/>
      <c r="F220" s="257"/>
      <c r="G220" s="257"/>
      <c r="H220" s="257"/>
      <c r="I220" s="257"/>
      <c r="J220" s="258"/>
      <c r="K220" s="241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N220" s="242"/>
      <c r="AO220" s="242"/>
      <c r="AP220" s="242"/>
      <c r="AQ220" s="242"/>
      <c r="AR220" s="242"/>
      <c r="AS220" s="243"/>
      <c r="AT220" s="252"/>
      <c r="AU220" s="252"/>
      <c r="AV220" s="252"/>
      <c r="AW220" s="252"/>
      <c r="AX220" s="252"/>
      <c r="AY220" s="252"/>
      <c r="BC220" s="7">
        <f t="shared" si="9"/>
        <v>0</v>
      </c>
      <c r="BD220" s="7">
        <f t="shared" si="10"/>
        <v>0</v>
      </c>
      <c r="BE220" s="7">
        <f t="shared" si="11"/>
        <v>0</v>
      </c>
      <c r="BF220" s="7">
        <f t="shared" si="12"/>
        <v>0</v>
      </c>
    </row>
    <row r="221" spans="2:58" hidden="1" x14ac:dyDescent="0.2">
      <c r="B221" s="252"/>
      <c r="C221" s="252"/>
      <c r="D221" s="256"/>
      <c r="E221" s="257"/>
      <c r="F221" s="257"/>
      <c r="G221" s="257"/>
      <c r="H221" s="257"/>
      <c r="I221" s="257"/>
      <c r="J221" s="258"/>
      <c r="K221" s="241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  <c r="AM221" s="242"/>
      <c r="AN221" s="242"/>
      <c r="AO221" s="242"/>
      <c r="AP221" s="242"/>
      <c r="AQ221" s="242"/>
      <c r="AR221" s="242"/>
      <c r="AS221" s="243"/>
      <c r="AT221" s="252"/>
      <c r="AU221" s="252"/>
      <c r="AV221" s="252"/>
      <c r="AW221" s="252"/>
      <c r="AX221" s="252"/>
      <c r="AY221" s="252"/>
      <c r="BC221" s="7">
        <f t="shared" si="9"/>
        <v>0</v>
      </c>
      <c r="BD221" s="7">
        <f t="shared" si="10"/>
        <v>0</v>
      </c>
      <c r="BE221" s="7">
        <f t="shared" si="11"/>
        <v>0</v>
      </c>
      <c r="BF221" s="7">
        <f t="shared" si="12"/>
        <v>0</v>
      </c>
    </row>
    <row r="222" spans="2:58" hidden="1" x14ac:dyDescent="0.2">
      <c r="B222" s="252"/>
      <c r="C222" s="252"/>
      <c r="D222" s="256"/>
      <c r="E222" s="257"/>
      <c r="F222" s="257"/>
      <c r="G222" s="257"/>
      <c r="H222" s="257"/>
      <c r="I222" s="257"/>
      <c r="J222" s="258"/>
      <c r="K222" s="241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  <c r="AM222" s="242"/>
      <c r="AN222" s="242"/>
      <c r="AO222" s="242"/>
      <c r="AP222" s="242"/>
      <c r="AQ222" s="242"/>
      <c r="AR222" s="242"/>
      <c r="AS222" s="243"/>
      <c r="AT222" s="252"/>
      <c r="AU222" s="252"/>
      <c r="AV222" s="252"/>
      <c r="AW222" s="252"/>
      <c r="AX222" s="252"/>
      <c r="AY222" s="252"/>
      <c r="BC222" s="7">
        <f t="shared" si="9"/>
        <v>0</v>
      </c>
      <c r="BD222" s="7">
        <f t="shared" si="10"/>
        <v>0</v>
      </c>
      <c r="BE222" s="7">
        <f t="shared" si="11"/>
        <v>0</v>
      </c>
      <c r="BF222" s="7">
        <f t="shared" si="12"/>
        <v>0</v>
      </c>
    </row>
    <row r="223" spans="2:58" hidden="1" x14ac:dyDescent="0.2">
      <c r="B223" s="252"/>
      <c r="C223" s="252"/>
      <c r="D223" s="256"/>
      <c r="E223" s="257"/>
      <c r="F223" s="257"/>
      <c r="G223" s="257"/>
      <c r="H223" s="257"/>
      <c r="I223" s="257"/>
      <c r="J223" s="258"/>
      <c r="K223" s="241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  <c r="AM223" s="242"/>
      <c r="AN223" s="242"/>
      <c r="AO223" s="242"/>
      <c r="AP223" s="242"/>
      <c r="AQ223" s="242"/>
      <c r="AR223" s="242"/>
      <c r="AS223" s="243"/>
      <c r="AT223" s="252"/>
      <c r="AU223" s="252"/>
      <c r="AV223" s="252"/>
      <c r="AW223" s="252"/>
      <c r="AX223" s="252"/>
      <c r="AY223" s="252"/>
      <c r="BC223" s="7">
        <f t="shared" si="9"/>
        <v>0</v>
      </c>
      <c r="BD223" s="7">
        <f t="shared" si="10"/>
        <v>0</v>
      </c>
      <c r="BE223" s="7">
        <f t="shared" si="11"/>
        <v>0</v>
      </c>
      <c r="BF223" s="7">
        <f t="shared" si="12"/>
        <v>0</v>
      </c>
    </row>
    <row r="224" spans="2:58" hidden="1" x14ac:dyDescent="0.2">
      <c r="B224" s="252"/>
      <c r="C224" s="252"/>
      <c r="D224" s="256"/>
      <c r="E224" s="257"/>
      <c r="F224" s="257"/>
      <c r="G224" s="257"/>
      <c r="H224" s="257"/>
      <c r="I224" s="257"/>
      <c r="J224" s="258"/>
      <c r="K224" s="241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  <c r="AM224" s="242"/>
      <c r="AN224" s="242"/>
      <c r="AO224" s="242"/>
      <c r="AP224" s="242"/>
      <c r="AQ224" s="242"/>
      <c r="AR224" s="242"/>
      <c r="AS224" s="243"/>
      <c r="AT224" s="252"/>
      <c r="AU224" s="252"/>
      <c r="AV224" s="252"/>
      <c r="AW224" s="252"/>
      <c r="AX224" s="252"/>
      <c r="AY224" s="252"/>
      <c r="BC224" s="7">
        <f t="shared" si="9"/>
        <v>0</v>
      </c>
      <c r="BD224" s="7">
        <f t="shared" si="10"/>
        <v>0</v>
      </c>
      <c r="BE224" s="7">
        <f t="shared" si="11"/>
        <v>0</v>
      </c>
      <c r="BF224" s="7">
        <f t="shared" si="12"/>
        <v>0</v>
      </c>
    </row>
    <row r="225" spans="2:58" hidden="1" x14ac:dyDescent="0.2">
      <c r="B225" s="252"/>
      <c r="C225" s="252"/>
      <c r="D225" s="256"/>
      <c r="E225" s="257"/>
      <c r="F225" s="257"/>
      <c r="G225" s="257"/>
      <c r="H225" s="257"/>
      <c r="I225" s="257"/>
      <c r="J225" s="258"/>
      <c r="K225" s="241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  <c r="AM225" s="242"/>
      <c r="AN225" s="242"/>
      <c r="AO225" s="242"/>
      <c r="AP225" s="242"/>
      <c r="AQ225" s="242"/>
      <c r="AR225" s="242"/>
      <c r="AS225" s="243"/>
      <c r="AT225" s="252"/>
      <c r="AU225" s="252"/>
      <c r="AV225" s="252"/>
      <c r="AW225" s="252"/>
      <c r="AX225" s="252"/>
      <c r="AY225" s="252"/>
      <c r="BC225" s="7">
        <f t="shared" si="9"/>
        <v>0</v>
      </c>
      <c r="BD225" s="7">
        <f t="shared" si="10"/>
        <v>0</v>
      </c>
      <c r="BE225" s="7">
        <f t="shared" si="11"/>
        <v>0</v>
      </c>
      <c r="BF225" s="7">
        <f t="shared" si="12"/>
        <v>0</v>
      </c>
    </row>
    <row r="226" spans="2:58" hidden="1" x14ac:dyDescent="0.2">
      <c r="B226" s="252"/>
      <c r="C226" s="252"/>
      <c r="D226" s="256"/>
      <c r="E226" s="257"/>
      <c r="F226" s="257"/>
      <c r="G226" s="257"/>
      <c r="H226" s="257"/>
      <c r="I226" s="257"/>
      <c r="J226" s="258"/>
      <c r="K226" s="241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  <c r="AM226" s="242"/>
      <c r="AN226" s="242"/>
      <c r="AO226" s="242"/>
      <c r="AP226" s="242"/>
      <c r="AQ226" s="242"/>
      <c r="AR226" s="242"/>
      <c r="AS226" s="243"/>
      <c r="AT226" s="252"/>
      <c r="AU226" s="252"/>
      <c r="AV226" s="252"/>
      <c r="AW226" s="252"/>
      <c r="AX226" s="252"/>
      <c r="AY226" s="252"/>
      <c r="BC226" s="7">
        <f t="shared" si="9"/>
        <v>0</v>
      </c>
      <c r="BD226" s="7">
        <f t="shared" si="10"/>
        <v>0</v>
      </c>
      <c r="BE226" s="7">
        <f t="shared" si="11"/>
        <v>0</v>
      </c>
      <c r="BF226" s="7">
        <f t="shared" si="12"/>
        <v>0</v>
      </c>
    </row>
    <row r="227" spans="2:58" hidden="1" x14ac:dyDescent="0.2">
      <c r="B227" s="252"/>
      <c r="C227" s="252"/>
      <c r="D227" s="256"/>
      <c r="E227" s="257"/>
      <c r="F227" s="257"/>
      <c r="G227" s="257"/>
      <c r="H227" s="257"/>
      <c r="I227" s="257"/>
      <c r="J227" s="258"/>
      <c r="K227" s="241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  <c r="AM227" s="242"/>
      <c r="AN227" s="242"/>
      <c r="AO227" s="242"/>
      <c r="AP227" s="242"/>
      <c r="AQ227" s="242"/>
      <c r="AR227" s="242"/>
      <c r="AS227" s="243"/>
      <c r="AT227" s="252"/>
      <c r="AU227" s="252"/>
      <c r="AV227" s="252"/>
      <c r="AW227" s="252"/>
      <c r="AX227" s="252"/>
      <c r="AY227" s="252"/>
      <c r="BC227" s="7">
        <f t="shared" si="9"/>
        <v>0</v>
      </c>
      <c r="BD227" s="7">
        <f t="shared" si="10"/>
        <v>0</v>
      </c>
      <c r="BE227" s="7">
        <f t="shared" si="11"/>
        <v>0</v>
      </c>
      <c r="BF227" s="7">
        <f t="shared" si="12"/>
        <v>0</v>
      </c>
    </row>
    <row r="228" spans="2:58" hidden="1" x14ac:dyDescent="0.2">
      <c r="B228" s="252"/>
      <c r="C228" s="252"/>
      <c r="D228" s="256"/>
      <c r="E228" s="257"/>
      <c r="F228" s="257"/>
      <c r="G228" s="257"/>
      <c r="H228" s="257"/>
      <c r="I228" s="257"/>
      <c r="J228" s="258"/>
      <c r="K228" s="241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  <c r="AM228" s="242"/>
      <c r="AN228" s="242"/>
      <c r="AO228" s="242"/>
      <c r="AP228" s="242"/>
      <c r="AQ228" s="242"/>
      <c r="AR228" s="242"/>
      <c r="AS228" s="243"/>
      <c r="AT228" s="252"/>
      <c r="AU228" s="252"/>
      <c r="AV228" s="252"/>
      <c r="AW228" s="252"/>
      <c r="AX228" s="252"/>
      <c r="AY228" s="252"/>
      <c r="BC228" s="7">
        <f t="shared" si="9"/>
        <v>0</v>
      </c>
      <c r="BD228" s="7">
        <f t="shared" si="10"/>
        <v>0</v>
      </c>
      <c r="BE228" s="7">
        <f t="shared" si="11"/>
        <v>0</v>
      </c>
      <c r="BF228" s="7">
        <f t="shared" si="12"/>
        <v>0</v>
      </c>
    </row>
    <row r="229" spans="2:58" hidden="1" x14ac:dyDescent="0.2">
      <c r="B229" s="252"/>
      <c r="C229" s="252"/>
      <c r="D229" s="256"/>
      <c r="E229" s="257"/>
      <c r="F229" s="257"/>
      <c r="G229" s="257"/>
      <c r="H229" s="257"/>
      <c r="I229" s="257"/>
      <c r="J229" s="258"/>
      <c r="K229" s="241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  <c r="AM229" s="242"/>
      <c r="AN229" s="242"/>
      <c r="AO229" s="242"/>
      <c r="AP229" s="242"/>
      <c r="AQ229" s="242"/>
      <c r="AR229" s="242"/>
      <c r="AS229" s="243"/>
      <c r="AT229" s="252"/>
      <c r="AU229" s="252"/>
      <c r="AV229" s="252"/>
      <c r="AW229" s="252"/>
      <c r="AX229" s="252"/>
      <c r="AY229" s="252"/>
      <c r="BC229" s="7">
        <f t="shared" si="9"/>
        <v>0</v>
      </c>
      <c r="BD229" s="7">
        <f t="shared" si="10"/>
        <v>0</v>
      </c>
      <c r="BE229" s="7">
        <f t="shared" si="11"/>
        <v>0</v>
      </c>
      <c r="BF229" s="7">
        <f t="shared" si="12"/>
        <v>0</v>
      </c>
    </row>
    <row r="230" spans="2:58" hidden="1" x14ac:dyDescent="0.2">
      <c r="B230" s="252"/>
      <c r="C230" s="252"/>
      <c r="D230" s="256"/>
      <c r="E230" s="257"/>
      <c r="F230" s="257"/>
      <c r="G230" s="257"/>
      <c r="H230" s="257"/>
      <c r="I230" s="257"/>
      <c r="J230" s="258"/>
      <c r="K230" s="241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  <c r="AM230" s="242"/>
      <c r="AN230" s="242"/>
      <c r="AO230" s="242"/>
      <c r="AP230" s="242"/>
      <c r="AQ230" s="242"/>
      <c r="AR230" s="242"/>
      <c r="AS230" s="243"/>
      <c r="AT230" s="252"/>
      <c r="AU230" s="252"/>
      <c r="AV230" s="252"/>
      <c r="AW230" s="252"/>
      <c r="AX230" s="252"/>
      <c r="AY230" s="252"/>
      <c r="BC230" s="7">
        <f t="shared" si="9"/>
        <v>0</v>
      </c>
      <c r="BD230" s="7">
        <f t="shared" si="10"/>
        <v>0</v>
      </c>
      <c r="BE230" s="7">
        <f t="shared" si="11"/>
        <v>0</v>
      </c>
      <c r="BF230" s="7">
        <f t="shared" si="12"/>
        <v>0</v>
      </c>
    </row>
    <row r="231" spans="2:58" hidden="1" x14ac:dyDescent="0.2">
      <c r="B231" s="252"/>
      <c r="C231" s="252"/>
      <c r="D231" s="256"/>
      <c r="E231" s="257"/>
      <c r="F231" s="257"/>
      <c r="G231" s="257"/>
      <c r="H231" s="257"/>
      <c r="I231" s="257"/>
      <c r="J231" s="258"/>
      <c r="K231" s="241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  <c r="AM231" s="242"/>
      <c r="AN231" s="242"/>
      <c r="AO231" s="242"/>
      <c r="AP231" s="242"/>
      <c r="AQ231" s="242"/>
      <c r="AR231" s="242"/>
      <c r="AS231" s="243"/>
      <c r="AT231" s="252"/>
      <c r="AU231" s="252"/>
      <c r="AV231" s="252"/>
      <c r="AW231" s="252"/>
      <c r="AX231" s="252"/>
      <c r="AY231" s="252"/>
      <c r="BC231" s="7">
        <f t="shared" si="9"/>
        <v>0</v>
      </c>
      <c r="BD231" s="7">
        <f t="shared" si="10"/>
        <v>0</v>
      </c>
      <c r="BE231" s="7">
        <f t="shared" si="11"/>
        <v>0</v>
      </c>
      <c r="BF231" s="7">
        <f t="shared" si="12"/>
        <v>0</v>
      </c>
    </row>
    <row r="232" spans="2:58" hidden="1" x14ac:dyDescent="0.2">
      <c r="B232" s="252"/>
      <c r="C232" s="252"/>
      <c r="D232" s="256"/>
      <c r="E232" s="257"/>
      <c r="F232" s="257"/>
      <c r="G232" s="257"/>
      <c r="H232" s="257"/>
      <c r="I232" s="257"/>
      <c r="J232" s="258"/>
      <c r="K232" s="241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  <c r="AM232" s="242"/>
      <c r="AN232" s="242"/>
      <c r="AO232" s="242"/>
      <c r="AP232" s="242"/>
      <c r="AQ232" s="242"/>
      <c r="AR232" s="242"/>
      <c r="AS232" s="243"/>
      <c r="AT232" s="252"/>
      <c r="AU232" s="252"/>
      <c r="AV232" s="252"/>
      <c r="AW232" s="252"/>
      <c r="AX232" s="252"/>
      <c r="AY232" s="252"/>
      <c r="BC232" s="7">
        <f t="shared" si="9"/>
        <v>0</v>
      </c>
      <c r="BD232" s="7">
        <f t="shared" si="10"/>
        <v>0</v>
      </c>
      <c r="BE232" s="7">
        <f t="shared" si="11"/>
        <v>0</v>
      </c>
      <c r="BF232" s="7">
        <f t="shared" si="12"/>
        <v>0</v>
      </c>
    </row>
    <row r="233" spans="2:58" hidden="1" x14ac:dyDescent="0.2">
      <c r="B233" s="252"/>
      <c r="C233" s="252"/>
      <c r="D233" s="256"/>
      <c r="E233" s="257"/>
      <c r="F233" s="257"/>
      <c r="G233" s="257"/>
      <c r="H233" s="257"/>
      <c r="I233" s="257"/>
      <c r="J233" s="258"/>
      <c r="K233" s="241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  <c r="AM233" s="242"/>
      <c r="AN233" s="242"/>
      <c r="AO233" s="242"/>
      <c r="AP233" s="242"/>
      <c r="AQ233" s="242"/>
      <c r="AR233" s="242"/>
      <c r="AS233" s="243"/>
      <c r="AT233" s="252"/>
      <c r="AU233" s="252"/>
      <c r="AV233" s="252"/>
      <c r="AW233" s="252"/>
      <c r="AX233" s="252"/>
      <c r="AY233" s="252"/>
      <c r="BC233" s="7">
        <f t="shared" si="9"/>
        <v>0</v>
      </c>
      <c r="BD233" s="7">
        <f t="shared" si="10"/>
        <v>0</v>
      </c>
      <c r="BE233" s="7">
        <f t="shared" si="11"/>
        <v>0</v>
      </c>
      <c r="BF233" s="7">
        <f t="shared" si="12"/>
        <v>0</v>
      </c>
    </row>
    <row r="234" spans="2:58" hidden="1" x14ac:dyDescent="0.2">
      <c r="B234" s="252"/>
      <c r="C234" s="252"/>
      <c r="D234" s="256"/>
      <c r="E234" s="257"/>
      <c r="F234" s="257"/>
      <c r="G234" s="257"/>
      <c r="H234" s="257"/>
      <c r="I234" s="257"/>
      <c r="J234" s="258"/>
      <c r="K234" s="241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  <c r="AM234" s="242"/>
      <c r="AN234" s="242"/>
      <c r="AO234" s="242"/>
      <c r="AP234" s="242"/>
      <c r="AQ234" s="242"/>
      <c r="AR234" s="242"/>
      <c r="AS234" s="243"/>
      <c r="AT234" s="252"/>
      <c r="AU234" s="252"/>
      <c r="AV234" s="252"/>
      <c r="AW234" s="252"/>
      <c r="AX234" s="252"/>
      <c r="AY234" s="252"/>
      <c r="BC234" s="7">
        <f t="shared" si="9"/>
        <v>0</v>
      </c>
      <c r="BD234" s="7">
        <f t="shared" si="10"/>
        <v>0</v>
      </c>
      <c r="BE234" s="7">
        <f t="shared" si="11"/>
        <v>0</v>
      </c>
      <c r="BF234" s="7">
        <f t="shared" si="12"/>
        <v>0</v>
      </c>
    </row>
    <row r="235" spans="2:58" hidden="1" x14ac:dyDescent="0.2">
      <c r="B235" s="252"/>
      <c r="C235" s="252"/>
      <c r="D235" s="256"/>
      <c r="E235" s="257"/>
      <c r="F235" s="257"/>
      <c r="G235" s="257"/>
      <c r="H235" s="257"/>
      <c r="I235" s="257"/>
      <c r="J235" s="258"/>
      <c r="K235" s="241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  <c r="AM235" s="242"/>
      <c r="AN235" s="242"/>
      <c r="AO235" s="242"/>
      <c r="AP235" s="242"/>
      <c r="AQ235" s="242"/>
      <c r="AR235" s="242"/>
      <c r="AS235" s="243"/>
      <c r="AT235" s="252"/>
      <c r="AU235" s="252"/>
      <c r="AV235" s="252"/>
      <c r="AW235" s="252"/>
      <c r="AX235" s="252"/>
      <c r="AY235" s="252"/>
      <c r="BC235" s="7">
        <f t="shared" si="9"/>
        <v>0</v>
      </c>
      <c r="BD235" s="7">
        <f t="shared" si="10"/>
        <v>0</v>
      </c>
      <c r="BE235" s="7">
        <f t="shared" si="11"/>
        <v>0</v>
      </c>
      <c r="BF235" s="7">
        <f t="shared" si="12"/>
        <v>0</v>
      </c>
    </row>
    <row r="236" spans="2:58" hidden="1" x14ac:dyDescent="0.2">
      <c r="B236" s="252"/>
      <c r="C236" s="252"/>
      <c r="D236" s="256"/>
      <c r="E236" s="257"/>
      <c r="F236" s="257"/>
      <c r="G236" s="257"/>
      <c r="H236" s="257"/>
      <c r="I236" s="257"/>
      <c r="J236" s="258"/>
      <c r="K236" s="241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  <c r="AM236" s="242"/>
      <c r="AN236" s="242"/>
      <c r="AO236" s="242"/>
      <c r="AP236" s="242"/>
      <c r="AQ236" s="242"/>
      <c r="AR236" s="242"/>
      <c r="AS236" s="243"/>
      <c r="AT236" s="252"/>
      <c r="AU236" s="252"/>
      <c r="AV236" s="252"/>
      <c r="AW236" s="252"/>
      <c r="AX236" s="252"/>
      <c r="AY236" s="252"/>
      <c r="BC236" s="7">
        <f t="shared" si="9"/>
        <v>0</v>
      </c>
      <c r="BD236" s="7">
        <f t="shared" si="10"/>
        <v>0</v>
      </c>
      <c r="BE236" s="7">
        <f t="shared" si="11"/>
        <v>0</v>
      </c>
      <c r="BF236" s="7">
        <f t="shared" si="12"/>
        <v>0</v>
      </c>
    </row>
    <row r="237" spans="2:58" hidden="1" x14ac:dyDescent="0.2">
      <c r="B237" s="252"/>
      <c r="C237" s="252"/>
      <c r="D237" s="256"/>
      <c r="E237" s="257"/>
      <c r="F237" s="257"/>
      <c r="G237" s="257"/>
      <c r="H237" s="257"/>
      <c r="I237" s="257"/>
      <c r="J237" s="258"/>
      <c r="K237" s="241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  <c r="AM237" s="242"/>
      <c r="AN237" s="242"/>
      <c r="AO237" s="242"/>
      <c r="AP237" s="242"/>
      <c r="AQ237" s="242"/>
      <c r="AR237" s="242"/>
      <c r="AS237" s="243"/>
      <c r="AT237" s="252"/>
      <c r="AU237" s="252"/>
      <c r="AV237" s="252"/>
      <c r="AW237" s="252"/>
      <c r="AX237" s="252"/>
      <c r="AY237" s="252"/>
      <c r="BC237" s="7">
        <f t="shared" si="9"/>
        <v>0</v>
      </c>
      <c r="BD237" s="7">
        <f t="shared" si="10"/>
        <v>0</v>
      </c>
      <c r="BE237" s="7">
        <f t="shared" si="11"/>
        <v>0</v>
      </c>
      <c r="BF237" s="7">
        <f t="shared" si="12"/>
        <v>0</v>
      </c>
    </row>
    <row r="238" spans="2:58" hidden="1" x14ac:dyDescent="0.2">
      <c r="B238" s="252"/>
      <c r="C238" s="252"/>
      <c r="D238" s="256"/>
      <c r="E238" s="257"/>
      <c r="F238" s="257"/>
      <c r="G238" s="257"/>
      <c r="H238" s="257"/>
      <c r="I238" s="257"/>
      <c r="J238" s="258"/>
      <c r="K238" s="241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  <c r="AM238" s="242"/>
      <c r="AN238" s="242"/>
      <c r="AO238" s="242"/>
      <c r="AP238" s="242"/>
      <c r="AQ238" s="242"/>
      <c r="AR238" s="242"/>
      <c r="AS238" s="243"/>
      <c r="AT238" s="252"/>
      <c r="AU238" s="252"/>
      <c r="AV238" s="252"/>
      <c r="AW238" s="252"/>
      <c r="AX238" s="252"/>
      <c r="AY238" s="252"/>
      <c r="BC238" s="7">
        <f t="shared" si="9"/>
        <v>0</v>
      </c>
      <c r="BD238" s="7">
        <f t="shared" si="10"/>
        <v>0</v>
      </c>
      <c r="BE238" s="7">
        <f t="shared" si="11"/>
        <v>0</v>
      </c>
      <c r="BF238" s="7">
        <f t="shared" si="12"/>
        <v>0</v>
      </c>
    </row>
    <row r="239" spans="2:58" hidden="1" x14ac:dyDescent="0.2">
      <c r="B239" s="252"/>
      <c r="C239" s="252"/>
      <c r="D239" s="256"/>
      <c r="E239" s="257"/>
      <c r="F239" s="257"/>
      <c r="G239" s="257"/>
      <c r="H239" s="257"/>
      <c r="I239" s="257"/>
      <c r="J239" s="258"/>
      <c r="K239" s="241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  <c r="AM239" s="242"/>
      <c r="AN239" s="242"/>
      <c r="AO239" s="242"/>
      <c r="AP239" s="242"/>
      <c r="AQ239" s="242"/>
      <c r="AR239" s="242"/>
      <c r="AS239" s="243"/>
      <c r="AT239" s="252"/>
      <c r="AU239" s="252"/>
      <c r="AV239" s="252"/>
      <c r="AW239" s="252"/>
      <c r="AX239" s="252"/>
      <c r="AY239" s="252"/>
      <c r="BC239" s="7">
        <f t="shared" si="9"/>
        <v>0</v>
      </c>
      <c r="BD239" s="7">
        <f t="shared" si="10"/>
        <v>0</v>
      </c>
      <c r="BE239" s="7">
        <f t="shared" si="11"/>
        <v>0</v>
      </c>
      <c r="BF239" s="7">
        <f t="shared" si="12"/>
        <v>0</v>
      </c>
    </row>
    <row r="240" spans="2:58" hidden="1" x14ac:dyDescent="0.2">
      <c r="B240" s="252"/>
      <c r="C240" s="252"/>
      <c r="D240" s="256"/>
      <c r="E240" s="257"/>
      <c r="F240" s="257"/>
      <c r="G240" s="257"/>
      <c r="H240" s="257"/>
      <c r="I240" s="257"/>
      <c r="J240" s="258"/>
      <c r="K240" s="241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  <c r="AM240" s="242"/>
      <c r="AN240" s="242"/>
      <c r="AO240" s="242"/>
      <c r="AP240" s="242"/>
      <c r="AQ240" s="242"/>
      <c r="AR240" s="242"/>
      <c r="AS240" s="243"/>
      <c r="AT240" s="252"/>
      <c r="AU240" s="252"/>
      <c r="AV240" s="252"/>
      <c r="AW240" s="252"/>
      <c r="AX240" s="252"/>
      <c r="AY240" s="252"/>
      <c r="BC240" s="7">
        <f t="shared" si="9"/>
        <v>0</v>
      </c>
      <c r="BD240" s="7">
        <f t="shared" si="10"/>
        <v>0</v>
      </c>
      <c r="BE240" s="7">
        <f t="shared" si="11"/>
        <v>0</v>
      </c>
      <c r="BF240" s="7">
        <f t="shared" si="12"/>
        <v>0</v>
      </c>
    </row>
    <row r="241" spans="2:58" hidden="1" x14ac:dyDescent="0.2">
      <c r="B241" s="252"/>
      <c r="C241" s="252"/>
      <c r="D241" s="256"/>
      <c r="E241" s="257"/>
      <c r="F241" s="257"/>
      <c r="G241" s="257"/>
      <c r="H241" s="257"/>
      <c r="I241" s="257"/>
      <c r="J241" s="258"/>
      <c r="K241" s="241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  <c r="AM241" s="242"/>
      <c r="AN241" s="242"/>
      <c r="AO241" s="242"/>
      <c r="AP241" s="242"/>
      <c r="AQ241" s="242"/>
      <c r="AR241" s="242"/>
      <c r="AS241" s="243"/>
      <c r="AT241" s="252"/>
      <c r="AU241" s="252"/>
      <c r="AV241" s="252"/>
      <c r="AW241" s="252"/>
      <c r="AX241" s="252"/>
      <c r="AY241" s="252"/>
      <c r="BC241" s="7">
        <f t="shared" si="9"/>
        <v>0</v>
      </c>
      <c r="BD241" s="7">
        <f t="shared" si="10"/>
        <v>0</v>
      </c>
      <c r="BE241" s="7">
        <f t="shared" si="11"/>
        <v>0</v>
      </c>
      <c r="BF241" s="7">
        <f t="shared" si="12"/>
        <v>0</v>
      </c>
    </row>
    <row r="242" spans="2:58" hidden="1" x14ac:dyDescent="0.2">
      <c r="B242" s="252"/>
      <c r="C242" s="252"/>
      <c r="D242" s="256"/>
      <c r="E242" s="257"/>
      <c r="F242" s="257"/>
      <c r="G242" s="257"/>
      <c r="H242" s="257"/>
      <c r="I242" s="257"/>
      <c r="J242" s="258"/>
      <c r="K242" s="241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  <c r="AM242" s="242"/>
      <c r="AN242" s="242"/>
      <c r="AO242" s="242"/>
      <c r="AP242" s="242"/>
      <c r="AQ242" s="242"/>
      <c r="AR242" s="242"/>
      <c r="AS242" s="243"/>
      <c r="AT242" s="252"/>
      <c r="AU242" s="252"/>
      <c r="AV242" s="252"/>
      <c r="AW242" s="252"/>
      <c r="AX242" s="252"/>
      <c r="AY242" s="252"/>
      <c r="BC242" s="7">
        <f t="shared" ref="BC242:BC305" si="13">B242</f>
        <v>0</v>
      </c>
      <c r="BD242" s="7">
        <f t="shared" ref="BD242:BD305" si="14">D242</f>
        <v>0</v>
      </c>
      <c r="BE242" s="7">
        <f t="shared" ref="BE242:BE305" si="15">K242</f>
        <v>0</v>
      </c>
      <c r="BF242" s="7">
        <f t="shared" ref="BF242:BF305" si="16">AT242</f>
        <v>0</v>
      </c>
    </row>
    <row r="243" spans="2:58" hidden="1" x14ac:dyDescent="0.2">
      <c r="B243" s="252"/>
      <c r="C243" s="252"/>
      <c r="D243" s="256"/>
      <c r="E243" s="257"/>
      <c r="F243" s="257"/>
      <c r="G243" s="257"/>
      <c r="H243" s="257"/>
      <c r="I243" s="257"/>
      <c r="J243" s="258"/>
      <c r="K243" s="241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  <c r="AM243" s="242"/>
      <c r="AN243" s="242"/>
      <c r="AO243" s="242"/>
      <c r="AP243" s="242"/>
      <c r="AQ243" s="242"/>
      <c r="AR243" s="242"/>
      <c r="AS243" s="243"/>
      <c r="AT243" s="252"/>
      <c r="AU243" s="252"/>
      <c r="AV243" s="252"/>
      <c r="AW243" s="252"/>
      <c r="AX243" s="252"/>
      <c r="AY243" s="252"/>
      <c r="BC243" s="7">
        <f t="shared" si="13"/>
        <v>0</v>
      </c>
      <c r="BD243" s="7">
        <f t="shared" si="14"/>
        <v>0</v>
      </c>
      <c r="BE243" s="7">
        <f t="shared" si="15"/>
        <v>0</v>
      </c>
      <c r="BF243" s="7">
        <f t="shared" si="16"/>
        <v>0</v>
      </c>
    </row>
    <row r="244" spans="2:58" hidden="1" x14ac:dyDescent="0.2">
      <c r="B244" s="252"/>
      <c r="C244" s="252"/>
      <c r="D244" s="256"/>
      <c r="E244" s="257"/>
      <c r="F244" s="257"/>
      <c r="G244" s="257"/>
      <c r="H244" s="257"/>
      <c r="I244" s="257"/>
      <c r="J244" s="258"/>
      <c r="K244" s="241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  <c r="AM244" s="242"/>
      <c r="AN244" s="242"/>
      <c r="AO244" s="242"/>
      <c r="AP244" s="242"/>
      <c r="AQ244" s="242"/>
      <c r="AR244" s="242"/>
      <c r="AS244" s="243"/>
      <c r="AT244" s="252"/>
      <c r="AU244" s="252"/>
      <c r="AV244" s="252"/>
      <c r="AW244" s="252"/>
      <c r="AX244" s="252"/>
      <c r="AY244" s="252"/>
      <c r="BC244" s="7">
        <f t="shared" si="13"/>
        <v>0</v>
      </c>
      <c r="BD244" s="7">
        <f t="shared" si="14"/>
        <v>0</v>
      </c>
      <c r="BE244" s="7">
        <f t="shared" si="15"/>
        <v>0</v>
      </c>
      <c r="BF244" s="7">
        <f t="shared" si="16"/>
        <v>0</v>
      </c>
    </row>
    <row r="245" spans="2:58" hidden="1" x14ac:dyDescent="0.2">
      <c r="B245" s="252"/>
      <c r="C245" s="252"/>
      <c r="D245" s="256"/>
      <c r="E245" s="257"/>
      <c r="F245" s="257"/>
      <c r="G245" s="257"/>
      <c r="H245" s="257"/>
      <c r="I245" s="257"/>
      <c r="J245" s="258"/>
      <c r="K245" s="241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  <c r="AM245" s="242"/>
      <c r="AN245" s="242"/>
      <c r="AO245" s="242"/>
      <c r="AP245" s="242"/>
      <c r="AQ245" s="242"/>
      <c r="AR245" s="242"/>
      <c r="AS245" s="243"/>
      <c r="AT245" s="252"/>
      <c r="AU245" s="252"/>
      <c r="AV245" s="252"/>
      <c r="AW245" s="252"/>
      <c r="AX245" s="252"/>
      <c r="AY245" s="252"/>
      <c r="BC245" s="7">
        <f t="shared" si="13"/>
        <v>0</v>
      </c>
      <c r="BD245" s="7">
        <f t="shared" si="14"/>
        <v>0</v>
      </c>
      <c r="BE245" s="7">
        <f t="shared" si="15"/>
        <v>0</v>
      </c>
      <c r="BF245" s="7">
        <f t="shared" si="16"/>
        <v>0</v>
      </c>
    </row>
    <row r="246" spans="2:58" hidden="1" x14ac:dyDescent="0.2">
      <c r="B246" s="252"/>
      <c r="C246" s="252"/>
      <c r="D246" s="256"/>
      <c r="E246" s="257"/>
      <c r="F246" s="257"/>
      <c r="G246" s="257"/>
      <c r="H246" s="257"/>
      <c r="I246" s="257"/>
      <c r="J246" s="258"/>
      <c r="K246" s="241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  <c r="AM246" s="242"/>
      <c r="AN246" s="242"/>
      <c r="AO246" s="242"/>
      <c r="AP246" s="242"/>
      <c r="AQ246" s="242"/>
      <c r="AR246" s="242"/>
      <c r="AS246" s="243"/>
      <c r="AT246" s="252"/>
      <c r="AU246" s="252"/>
      <c r="AV246" s="252"/>
      <c r="AW246" s="252"/>
      <c r="AX246" s="252"/>
      <c r="AY246" s="252"/>
      <c r="BC246" s="7">
        <f t="shared" si="13"/>
        <v>0</v>
      </c>
      <c r="BD246" s="7">
        <f t="shared" si="14"/>
        <v>0</v>
      </c>
      <c r="BE246" s="7">
        <f t="shared" si="15"/>
        <v>0</v>
      </c>
      <c r="BF246" s="7">
        <f t="shared" si="16"/>
        <v>0</v>
      </c>
    </row>
    <row r="247" spans="2:58" hidden="1" x14ac:dyDescent="0.2">
      <c r="B247" s="252"/>
      <c r="C247" s="252"/>
      <c r="D247" s="256"/>
      <c r="E247" s="257"/>
      <c r="F247" s="257"/>
      <c r="G247" s="257"/>
      <c r="H247" s="257"/>
      <c r="I247" s="257"/>
      <c r="J247" s="258"/>
      <c r="K247" s="241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  <c r="AM247" s="242"/>
      <c r="AN247" s="242"/>
      <c r="AO247" s="242"/>
      <c r="AP247" s="242"/>
      <c r="AQ247" s="242"/>
      <c r="AR247" s="242"/>
      <c r="AS247" s="243"/>
      <c r="AT247" s="252"/>
      <c r="AU247" s="252"/>
      <c r="AV247" s="252"/>
      <c r="AW247" s="252"/>
      <c r="AX247" s="252"/>
      <c r="AY247" s="252"/>
      <c r="BC247" s="7">
        <f t="shared" si="13"/>
        <v>0</v>
      </c>
      <c r="BD247" s="7">
        <f t="shared" si="14"/>
        <v>0</v>
      </c>
      <c r="BE247" s="7">
        <f t="shared" si="15"/>
        <v>0</v>
      </c>
      <c r="BF247" s="7">
        <f t="shared" si="16"/>
        <v>0</v>
      </c>
    </row>
    <row r="248" spans="2:58" hidden="1" x14ac:dyDescent="0.2">
      <c r="B248" s="252"/>
      <c r="C248" s="252"/>
      <c r="D248" s="256"/>
      <c r="E248" s="257"/>
      <c r="F248" s="257"/>
      <c r="G248" s="257"/>
      <c r="H248" s="257"/>
      <c r="I248" s="257"/>
      <c r="J248" s="258"/>
      <c r="K248" s="241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N248" s="242"/>
      <c r="AO248" s="242"/>
      <c r="AP248" s="242"/>
      <c r="AQ248" s="242"/>
      <c r="AR248" s="242"/>
      <c r="AS248" s="243"/>
      <c r="AT248" s="252"/>
      <c r="AU248" s="252"/>
      <c r="AV248" s="252"/>
      <c r="AW248" s="252"/>
      <c r="AX248" s="252"/>
      <c r="AY248" s="252"/>
      <c r="BC248" s="7">
        <f t="shared" si="13"/>
        <v>0</v>
      </c>
      <c r="BD248" s="7">
        <f t="shared" si="14"/>
        <v>0</v>
      </c>
      <c r="BE248" s="7">
        <f t="shared" si="15"/>
        <v>0</v>
      </c>
      <c r="BF248" s="7">
        <f t="shared" si="16"/>
        <v>0</v>
      </c>
    </row>
    <row r="249" spans="2:58" hidden="1" x14ac:dyDescent="0.2">
      <c r="B249" s="252"/>
      <c r="C249" s="252"/>
      <c r="D249" s="256"/>
      <c r="E249" s="257"/>
      <c r="F249" s="257"/>
      <c r="G249" s="257"/>
      <c r="H249" s="257"/>
      <c r="I249" s="257"/>
      <c r="J249" s="258"/>
      <c r="K249" s="241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2"/>
      <c r="AQ249" s="242"/>
      <c r="AR249" s="242"/>
      <c r="AS249" s="243"/>
      <c r="AT249" s="252"/>
      <c r="AU249" s="252"/>
      <c r="AV249" s="252"/>
      <c r="AW249" s="252"/>
      <c r="AX249" s="252"/>
      <c r="AY249" s="252"/>
      <c r="BC249" s="7">
        <f t="shared" si="13"/>
        <v>0</v>
      </c>
      <c r="BD249" s="7">
        <f t="shared" si="14"/>
        <v>0</v>
      </c>
      <c r="BE249" s="7">
        <f t="shared" si="15"/>
        <v>0</v>
      </c>
      <c r="BF249" s="7">
        <f t="shared" si="16"/>
        <v>0</v>
      </c>
    </row>
    <row r="250" spans="2:58" hidden="1" x14ac:dyDescent="0.2">
      <c r="B250" s="252"/>
      <c r="C250" s="252"/>
      <c r="D250" s="256"/>
      <c r="E250" s="257"/>
      <c r="F250" s="257"/>
      <c r="G250" s="257"/>
      <c r="H250" s="257"/>
      <c r="I250" s="257"/>
      <c r="J250" s="258"/>
      <c r="K250" s="241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  <c r="AM250" s="242"/>
      <c r="AN250" s="242"/>
      <c r="AO250" s="242"/>
      <c r="AP250" s="242"/>
      <c r="AQ250" s="242"/>
      <c r="AR250" s="242"/>
      <c r="AS250" s="243"/>
      <c r="AT250" s="252"/>
      <c r="AU250" s="252"/>
      <c r="AV250" s="252"/>
      <c r="AW250" s="252"/>
      <c r="AX250" s="252"/>
      <c r="AY250" s="252"/>
      <c r="BC250" s="7">
        <f t="shared" si="13"/>
        <v>0</v>
      </c>
      <c r="BD250" s="7">
        <f t="shared" si="14"/>
        <v>0</v>
      </c>
      <c r="BE250" s="7">
        <f t="shared" si="15"/>
        <v>0</v>
      </c>
      <c r="BF250" s="7">
        <f t="shared" si="16"/>
        <v>0</v>
      </c>
    </row>
    <row r="251" spans="2:58" hidden="1" x14ac:dyDescent="0.2">
      <c r="B251" s="252"/>
      <c r="C251" s="252"/>
      <c r="D251" s="256"/>
      <c r="E251" s="257"/>
      <c r="F251" s="257"/>
      <c r="G251" s="257"/>
      <c r="H251" s="257"/>
      <c r="I251" s="257"/>
      <c r="J251" s="258"/>
      <c r="K251" s="241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  <c r="AM251" s="242"/>
      <c r="AN251" s="242"/>
      <c r="AO251" s="242"/>
      <c r="AP251" s="242"/>
      <c r="AQ251" s="242"/>
      <c r="AR251" s="242"/>
      <c r="AS251" s="243"/>
      <c r="AT251" s="252"/>
      <c r="AU251" s="252"/>
      <c r="AV251" s="252"/>
      <c r="AW251" s="252"/>
      <c r="AX251" s="252"/>
      <c r="AY251" s="252"/>
      <c r="BC251" s="7">
        <f t="shared" si="13"/>
        <v>0</v>
      </c>
      <c r="BD251" s="7">
        <f t="shared" si="14"/>
        <v>0</v>
      </c>
      <c r="BE251" s="7">
        <f t="shared" si="15"/>
        <v>0</v>
      </c>
      <c r="BF251" s="7">
        <f t="shared" si="16"/>
        <v>0</v>
      </c>
    </row>
    <row r="252" spans="2:58" hidden="1" x14ac:dyDescent="0.2">
      <c r="B252" s="252"/>
      <c r="C252" s="252"/>
      <c r="D252" s="256"/>
      <c r="E252" s="257"/>
      <c r="F252" s="257"/>
      <c r="G252" s="257"/>
      <c r="H252" s="257"/>
      <c r="I252" s="257"/>
      <c r="J252" s="258"/>
      <c r="K252" s="241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  <c r="AA252" s="242"/>
      <c r="AB252" s="242"/>
      <c r="AC252" s="242"/>
      <c r="AD252" s="242"/>
      <c r="AE252" s="242"/>
      <c r="AF252" s="242"/>
      <c r="AG252" s="242"/>
      <c r="AH252" s="242"/>
      <c r="AI252" s="242"/>
      <c r="AJ252" s="242"/>
      <c r="AK252" s="242"/>
      <c r="AL252" s="242"/>
      <c r="AM252" s="242"/>
      <c r="AN252" s="242"/>
      <c r="AO252" s="242"/>
      <c r="AP252" s="242"/>
      <c r="AQ252" s="242"/>
      <c r="AR252" s="242"/>
      <c r="AS252" s="243"/>
      <c r="AT252" s="252"/>
      <c r="AU252" s="252"/>
      <c r="AV252" s="252"/>
      <c r="AW252" s="252"/>
      <c r="AX252" s="252"/>
      <c r="AY252" s="252"/>
      <c r="BC252" s="7">
        <f t="shared" si="13"/>
        <v>0</v>
      </c>
      <c r="BD252" s="7">
        <f t="shared" si="14"/>
        <v>0</v>
      </c>
      <c r="BE252" s="7">
        <f t="shared" si="15"/>
        <v>0</v>
      </c>
      <c r="BF252" s="7">
        <f t="shared" si="16"/>
        <v>0</v>
      </c>
    </row>
    <row r="253" spans="2:58" hidden="1" x14ac:dyDescent="0.2">
      <c r="B253" s="252"/>
      <c r="C253" s="252"/>
      <c r="D253" s="256"/>
      <c r="E253" s="257"/>
      <c r="F253" s="257"/>
      <c r="G253" s="257"/>
      <c r="H253" s="257"/>
      <c r="I253" s="257"/>
      <c r="J253" s="258"/>
      <c r="K253" s="241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  <c r="AA253" s="242"/>
      <c r="AB253" s="242"/>
      <c r="AC253" s="242"/>
      <c r="AD253" s="242"/>
      <c r="AE253" s="242"/>
      <c r="AF253" s="242"/>
      <c r="AG253" s="242"/>
      <c r="AH253" s="242"/>
      <c r="AI253" s="242"/>
      <c r="AJ253" s="242"/>
      <c r="AK253" s="242"/>
      <c r="AL253" s="242"/>
      <c r="AM253" s="242"/>
      <c r="AN253" s="242"/>
      <c r="AO253" s="242"/>
      <c r="AP253" s="242"/>
      <c r="AQ253" s="242"/>
      <c r="AR253" s="242"/>
      <c r="AS253" s="243"/>
      <c r="AT253" s="252"/>
      <c r="AU253" s="252"/>
      <c r="AV253" s="252"/>
      <c r="AW253" s="252"/>
      <c r="AX253" s="252"/>
      <c r="AY253" s="252"/>
      <c r="BC253" s="7">
        <f t="shared" si="13"/>
        <v>0</v>
      </c>
      <c r="BD253" s="7">
        <f t="shared" si="14"/>
        <v>0</v>
      </c>
      <c r="BE253" s="7">
        <f t="shared" si="15"/>
        <v>0</v>
      </c>
      <c r="BF253" s="7">
        <f t="shared" si="16"/>
        <v>0</v>
      </c>
    </row>
    <row r="254" spans="2:58" hidden="1" x14ac:dyDescent="0.2">
      <c r="B254" s="252"/>
      <c r="C254" s="252"/>
      <c r="D254" s="256"/>
      <c r="E254" s="257"/>
      <c r="F254" s="257"/>
      <c r="G254" s="257"/>
      <c r="H254" s="257"/>
      <c r="I254" s="257"/>
      <c r="J254" s="258"/>
      <c r="K254" s="241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  <c r="AA254" s="242"/>
      <c r="AB254" s="242"/>
      <c r="AC254" s="242"/>
      <c r="AD254" s="242"/>
      <c r="AE254" s="242"/>
      <c r="AF254" s="242"/>
      <c r="AG254" s="242"/>
      <c r="AH254" s="242"/>
      <c r="AI254" s="242"/>
      <c r="AJ254" s="242"/>
      <c r="AK254" s="242"/>
      <c r="AL254" s="242"/>
      <c r="AM254" s="242"/>
      <c r="AN254" s="242"/>
      <c r="AO254" s="242"/>
      <c r="AP254" s="242"/>
      <c r="AQ254" s="242"/>
      <c r="AR254" s="242"/>
      <c r="AS254" s="243"/>
      <c r="AT254" s="252"/>
      <c r="AU254" s="252"/>
      <c r="AV254" s="252"/>
      <c r="AW254" s="252"/>
      <c r="AX254" s="252"/>
      <c r="AY254" s="252"/>
      <c r="BC254" s="7">
        <f t="shared" si="13"/>
        <v>0</v>
      </c>
      <c r="BD254" s="7">
        <f t="shared" si="14"/>
        <v>0</v>
      </c>
      <c r="BE254" s="7">
        <f t="shared" si="15"/>
        <v>0</v>
      </c>
      <c r="BF254" s="7">
        <f t="shared" si="16"/>
        <v>0</v>
      </c>
    </row>
    <row r="255" spans="2:58" hidden="1" x14ac:dyDescent="0.2">
      <c r="B255" s="252"/>
      <c r="C255" s="252"/>
      <c r="D255" s="256"/>
      <c r="E255" s="257"/>
      <c r="F255" s="257"/>
      <c r="G255" s="257"/>
      <c r="H255" s="257"/>
      <c r="I255" s="257"/>
      <c r="J255" s="258"/>
      <c r="K255" s="241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  <c r="AA255" s="242"/>
      <c r="AB255" s="242"/>
      <c r="AC255" s="242"/>
      <c r="AD255" s="242"/>
      <c r="AE255" s="242"/>
      <c r="AF255" s="242"/>
      <c r="AG255" s="242"/>
      <c r="AH255" s="242"/>
      <c r="AI255" s="242"/>
      <c r="AJ255" s="242"/>
      <c r="AK255" s="242"/>
      <c r="AL255" s="242"/>
      <c r="AM255" s="242"/>
      <c r="AN255" s="242"/>
      <c r="AO255" s="242"/>
      <c r="AP255" s="242"/>
      <c r="AQ255" s="242"/>
      <c r="AR255" s="242"/>
      <c r="AS255" s="243"/>
      <c r="AT255" s="252"/>
      <c r="AU255" s="252"/>
      <c r="AV255" s="252"/>
      <c r="AW255" s="252"/>
      <c r="AX255" s="252"/>
      <c r="AY255" s="252"/>
      <c r="BC255" s="7">
        <f t="shared" si="13"/>
        <v>0</v>
      </c>
      <c r="BD255" s="7">
        <f t="shared" si="14"/>
        <v>0</v>
      </c>
      <c r="BE255" s="7">
        <f t="shared" si="15"/>
        <v>0</v>
      </c>
      <c r="BF255" s="7">
        <f t="shared" si="16"/>
        <v>0</v>
      </c>
    </row>
    <row r="256" spans="2:58" hidden="1" x14ac:dyDescent="0.2">
      <c r="B256" s="252"/>
      <c r="C256" s="252"/>
      <c r="D256" s="256"/>
      <c r="E256" s="257"/>
      <c r="F256" s="257"/>
      <c r="G256" s="257"/>
      <c r="H256" s="257"/>
      <c r="I256" s="257"/>
      <c r="J256" s="258"/>
      <c r="K256" s="241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  <c r="AA256" s="242"/>
      <c r="AB256" s="242"/>
      <c r="AC256" s="242"/>
      <c r="AD256" s="242"/>
      <c r="AE256" s="242"/>
      <c r="AF256" s="242"/>
      <c r="AG256" s="242"/>
      <c r="AH256" s="242"/>
      <c r="AI256" s="242"/>
      <c r="AJ256" s="242"/>
      <c r="AK256" s="242"/>
      <c r="AL256" s="242"/>
      <c r="AM256" s="242"/>
      <c r="AN256" s="242"/>
      <c r="AO256" s="242"/>
      <c r="AP256" s="242"/>
      <c r="AQ256" s="242"/>
      <c r="AR256" s="242"/>
      <c r="AS256" s="243"/>
      <c r="AT256" s="252"/>
      <c r="AU256" s="252"/>
      <c r="AV256" s="252"/>
      <c r="AW256" s="252"/>
      <c r="AX256" s="252"/>
      <c r="AY256" s="252"/>
      <c r="BC256" s="7">
        <f t="shared" si="13"/>
        <v>0</v>
      </c>
      <c r="BD256" s="7">
        <f t="shared" si="14"/>
        <v>0</v>
      </c>
      <c r="BE256" s="7">
        <f t="shared" si="15"/>
        <v>0</v>
      </c>
      <c r="BF256" s="7">
        <f t="shared" si="16"/>
        <v>0</v>
      </c>
    </row>
    <row r="257" spans="2:58" hidden="1" x14ac:dyDescent="0.2">
      <c r="B257" s="252"/>
      <c r="C257" s="252"/>
      <c r="D257" s="256"/>
      <c r="E257" s="257"/>
      <c r="F257" s="257"/>
      <c r="G257" s="257"/>
      <c r="H257" s="257"/>
      <c r="I257" s="257"/>
      <c r="J257" s="258"/>
      <c r="K257" s="241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  <c r="AA257" s="242"/>
      <c r="AB257" s="242"/>
      <c r="AC257" s="242"/>
      <c r="AD257" s="242"/>
      <c r="AE257" s="242"/>
      <c r="AF257" s="242"/>
      <c r="AG257" s="242"/>
      <c r="AH257" s="242"/>
      <c r="AI257" s="242"/>
      <c r="AJ257" s="242"/>
      <c r="AK257" s="242"/>
      <c r="AL257" s="242"/>
      <c r="AM257" s="242"/>
      <c r="AN257" s="242"/>
      <c r="AO257" s="242"/>
      <c r="AP257" s="242"/>
      <c r="AQ257" s="242"/>
      <c r="AR257" s="242"/>
      <c r="AS257" s="243"/>
      <c r="AT257" s="252"/>
      <c r="AU257" s="252"/>
      <c r="AV257" s="252"/>
      <c r="AW257" s="252"/>
      <c r="AX257" s="252"/>
      <c r="AY257" s="252"/>
      <c r="BC257" s="7">
        <f t="shared" si="13"/>
        <v>0</v>
      </c>
      <c r="BD257" s="7">
        <f t="shared" si="14"/>
        <v>0</v>
      </c>
      <c r="BE257" s="7">
        <f t="shared" si="15"/>
        <v>0</v>
      </c>
      <c r="BF257" s="7">
        <f t="shared" si="16"/>
        <v>0</v>
      </c>
    </row>
    <row r="258" spans="2:58" hidden="1" x14ac:dyDescent="0.2">
      <c r="B258" s="252"/>
      <c r="C258" s="252"/>
      <c r="D258" s="256"/>
      <c r="E258" s="257"/>
      <c r="F258" s="257"/>
      <c r="G258" s="257"/>
      <c r="H258" s="257"/>
      <c r="I258" s="257"/>
      <c r="J258" s="258"/>
      <c r="K258" s="241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  <c r="AC258" s="242"/>
      <c r="AD258" s="242"/>
      <c r="AE258" s="242"/>
      <c r="AF258" s="242"/>
      <c r="AG258" s="242"/>
      <c r="AH258" s="242"/>
      <c r="AI258" s="242"/>
      <c r="AJ258" s="242"/>
      <c r="AK258" s="242"/>
      <c r="AL258" s="242"/>
      <c r="AM258" s="242"/>
      <c r="AN258" s="242"/>
      <c r="AO258" s="242"/>
      <c r="AP258" s="242"/>
      <c r="AQ258" s="242"/>
      <c r="AR258" s="242"/>
      <c r="AS258" s="243"/>
      <c r="AT258" s="252"/>
      <c r="AU258" s="252"/>
      <c r="AV258" s="252"/>
      <c r="AW258" s="252"/>
      <c r="AX258" s="252"/>
      <c r="AY258" s="252"/>
      <c r="BC258" s="7">
        <f t="shared" si="13"/>
        <v>0</v>
      </c>
      <c r="BD258" s="7">
        <f t="shared" si="14"/>
        <v>0</v>
      </c>
      <c r="BE258" s="7">
        <f t="shared" si="15"/>
        <v>0</v>
      </c>
      <c r="BF258" s="7">
        <f t="shared" si="16"/>
        <v>0</v>
      </c>
    </row>
    <row r="259" spans="2:58" hidden="1" x14ac:dyDescent="0.2">
      <c r="B259" s="252"/>
      <c r="C259" s="252"/>
      <c r="D259" s="256"/>
      <c r="E259" s="257"/>
      <c r="F259" s="257"/>
      <c r="G259" s="257"/>
      <c r="H259" s="257"/>
      <c r="I259" s="257"/>
      <c r="J259" s="258"/>
      <c r="K259" s="241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2"/>
      <c r="AQ259" s="242"/>
      <c r="AR259" s="242"/>
      <c r="AS259" s="243"/>
      <c r="AT259" s="252"/>
      <c r="AU259" s="252"/>
      <c r="AV259" s="252"/>
      <c r="AW259" s="252"/>
      <c r="AX259" s="252"/>
      <c r="AY259" s="252"/>
      <c r="BC259" s="7">
        <f t="shared" si="13"/>
        <v>0</v>
      </c>
      <c r="BD259" s="7">
        <f t="shared" si="14"/>
        <v>0</v>
      </c>
      <c r="BE259" s="7">
        <f t="shared" si="15"/>
        <v>0</v>
      </c>
      <c r="BF259" s="7">
        <f t="shared" si="16"/>
        <v>0</v>
      </c>
    </row>
    <row r="260" spans="2:58" hidden="1" x14ac:dyDescent="0.2">
      <c r="B260" s="252"/>
      <c r="C260" s="252"/>
      <c r="D260" s="256"/>
      <c r="E260" s="257"/>
      <c r="F260" s="257"/>
      <c r="G260" s="257"/>
      <c r="H260" s="257"/>
      <c r="I260" s="257"/>
      <c r="J260" s="258"/>
      <c r="K260" s="241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42"/>
      <c r="AC260" s="242"/>
      <c r="AD260" s="242"/>
      <c r="AE260" s="242"/>
      <c r="AF260" s="242"/>
      <c r="AG260" s="242"/>
      <c r="AH260" s="242"/>
      <c r="AI260" s="242"/>
      <c r="AJ260" s="242"/>
      <c r="AK260" s="242"/>
      <c r="AL260" s="242"/>
      <c r="AM260" s="242"/>
      <c r="AN260" s="242"/>
      <c r="AO260" s="242"/>
      <c r="AP260" s="242"/>
      <c r="AQ260" s="242"/>
      <c r="AR260" s="242"/>
      <c r="AS260" s="243"/>
      <c r="AT260" s="252"/>
      <c r="AU260" s="252"/>
      <c r="AV260" s="252"/>
      <c r="AW260" s="252"/>
      <c r="AX260" s="252"/>
      <c r="AY260" s="252"/>
      <c r="BC260" s="7">
        <f t="shared" si="13"/>
        <v>0</v>
      </c>
      <c r="BD260" s="7">
        <f t="shared" si="14"/>
        <v>0</v>
      </c>
      <c r="BE260" s="7">
        <f t="shared" si="15"/>
        <v>0</v>
      </c>
      <c r="BF260" s="7">
        <f t="shared" si="16"/>
        <v>0</v>
      </c>
    </row>
    <row r="261" spans="2:58" hidden="1" x14ac:dyDescent="0.2">
      <c r="B261" s="252"/>
      <c r="C261" s="252"/>
      <c r="D261" s="256"/>
      <c r="E261" s="257"/>
      <c r="F261" s="257"/>
      <c r="G261" s="257"/>
      <c r="H261" s="257"/>
      <c r="I261" s="257"/>
      <c r="J261" s="258"/>
      <c r="K261" s="241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B261" s="242"/>
      <c r="AC261" s="242"/>
      <c r="AD261" s="242"/>
      <c r="AE261" s="242"/>
      <c r="AF261" s="242"/>
      <c r="AG261" s="242"/>
      <c r="AH261" s="242"/>
      <c r="AI261" s="242"/>
      <c r="AJ261" s="242"/>
      <c r="AK261" s="242"/>
      <c r="AL261" s="242"/>
      <c r="AM261" s="242"/>
      <c r="AN261" s="242"/>
      <c r="AO261" s="242"/>
      <c r="AP261" s="242"/>
      <c r="AQ261" s="242"/>
      <c r="AR261" s="242"/>
      <c r="AS261" s="243"/>
      <c r="AT261" s="252"/>
      <c r="AU261" s="252"/>
      <c r="AV261" s="252"/>
      <c r="AW261" s="252"/>
      <c r="AX261" s="252"/>
      <c r="AY261" s="252"/>
      <c r="BC261" s="7">
        <f t="shared" si="13"/>
        <v>0</v>
      </c>
      <c r="BD261" s="7">
        <f t="shared" si="14"/>
        <v>0</v>
      </c>
      <c r="BE261" s="7">
        <f t="shared" si="15"/>
        <v>0</v>
      </c>
      <c r="BF261" s="7">
        <f t="shared" si="16"/>
        <v>0</v>
      </c>
    </row>
    <row r="262" spans="2:58" hidden="1" x14ac:dyDescent="0.2">
      <c r="B262" s="252"/>
      <c r="C262" s="252"/>
      <c r="D262" s="256"/>
      <c r="E262" s="257"/>
      <c r="F262" s="257"/>
      <c r="G262" s="257"/>
      <c r="H262" s="257"/>
      <c r="I262" s="257"/>
      <c r="J262" s="258"/>
      <c r="K262" s="241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/>
      <c r="AD262" s="242"/>
      <c r="AE262" s="242"/>
      <c r="AF262" s="242"/>
      <c r="AG262" s="242"/>
      <c r="AH262" s="242"/>
      <c r="AI262" s="242"/>
      <c r="AJ262" s="242"/>
      <c r="AK262" s="242"/>
      <c r="AL262" s="242"/>
      <c r="AM262" s="242"/>
      <c r="AN262" s="242"/>
      <c r="AO262" s="242"/>
      <c r="AP262" s="242"/>
      <c r="AQ262" s="242"/>
      <c r="AR262" s="242"/>
      <c r="AS262" s="243"/>
      <c r="AT262" s="252"/>
      <c r="AU262" s="252"/>
      <c r="AV262" s="252"/>
      <c r="AW262" s="252"/>
      <c r="AX262" s="252"/>
      <c r="AY262" s="252"/>
      <c r="BC262" s="7">
        <f t="shared" si="13"/>
        <v>0</v>
      </c>
      <c r="BD262" s="7">
        <f t="shared" si="14"/>
        <v>0</v>
      </c>
      <c r="BE262" s="7">
        <f t="shared" si="15"/>
        <v>0</v>
      </c>
      <c r="BF262" s="7">
        <f t="shared" si="16"/>
        <v>0</v>
      </c>
    </row>
    <row r="263" spans="2:58" hidden="1" x14ac:dyDescent="0.2">
      <c r="B263" s="252"/>
      <c r="C263" s="252"/>
      <c r="D263" s="256"/>
      <c r="E263" s="257"/>
      <c r="F263" s="257"/>
      <c r="G263" s="257"/>
      <c r="H263" s="257"/>
      <c r="I263" s="257"/>
      <c r="J263" s="258"/>
      <c r="K263" s="241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2"/>
      <c r="AM263" s="242"/>
      <c r="AN263" s="242"/>
      <c r="AO263" s="242"/>
      <c r="AP263" s="242"/>
      <c r="AQ263" s="242"/>
      <c r="AR263" s="242"/>
      <c r="AS263" s="243"/>
      <c r="AT263" s="252"/>
      <c r="AU263" s="252"/>
      <c r="AV263" s="252"/>
      <c r="AW263" s="252"/>
      <c r="AX263" s="252"/>
      <c r="AY263" s="252"/>
      <c r="BC263" s="7">
        <f t="shared" si="13"/>
        <v>0</v>
      </c>
      <c r="BD263" s="7">
        <f t="shared" si="14"/>
        <v>0</v>
      </c>
      <c r="BE263" s="7">
        <f t="shared" si="15"/>
        <v>0</v>
      </c>
      <c r="BF263" s="7">
        <f t="shared" si="16"/>
        <v>0</v>
      </c>
    </row>
    <row r="264" spans="2:58" hidden="1" x14ac:dyDescent="0.2">
      <c r="B264" s="252"/>
      <c r="C264" s="252"/>
      <c r="D264" s="256"/>
      <c r="E264" s="257"/>
      <c r="F264" s="257"/>
      <c r="G264" s="257"/>
      <c r="H264" s="257"/>
      <c r="I264" s="257"/>
      <c r="J264" s="258"/>
      <c r="K264" s="241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  <c r="AA264" s="242"/>
      <c r="AB264" s="242"/>
      <c r="AC264" s="242"/>
      <c r="AD264" s="242"/>
      <c r="AE264" s="242"/>
      <c r="AF264" s="242"/>
      <c r="AG264" s="242"/>
      <c r="AH264" s="242"/>
      <c r="AI264" s="242"/>
      <c r="AJ264" s="242"/>
      <c r="AK264" s="242"/>
      <c r="AL264" s="242"/>
      <c r="AM264" s="242"/>
      <c r="AN264" s="242"/>
      <c r="AO264" s="242"/>
      <c r="AP264" s="242"/>
      <c r="AQ264" s="242"/>
      <c r="AR264" s="242"/>
      <c r="AS264" s="243"/>
      <c r="AT264" s="252"/>
      <c r="AU264" s="252"/>
      <c r="AV264" s="252"/>
      <c r="AW264" s="252"/>
      <c r="AX264" s="252"/>
      <c r="AY264" s="252"/>
      <c r="BC264" s="7">
        <f t="shared" si="13"/>
        <v>0</v>
      </c>
      <c r="BD264" s="7">
        <f t="shared" si="14"/>
        <v>0</v>
      </c>
      <c r="BE264" s="7">
        <f t="shared" si="15"/>
        <v>0</v>
      </c>
      <c r="BF264" s="7">
        <f t="shared" si="16"/>
        <v>0</v>
      </c>
    </row>
    <row r="265" spans="2:58" hidden="1" x14ac:dyDescent="0.2">
      <c r="B265" s="252"/>
      <c r="C265" s="252"/>
      <c r="D265" s="256"/>
      <c r="E265" s="257"/>
      <c r="F265" s="257"/>
      <c r="G265" s="257"/>
      <c r="H265" s="257"/>
      <c r="I265" s="257"/>
      <c r="J265" s="258"/>
      <c r="K265" s="241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  <c r="AA265" s="242"/>
      <c r="AB265" s="242"/>
      <c r="AC265" s="242"/>
      <c r="AD265" s="242"/>
      <c r="AE265" s="242"/>
      <c r="AF265" s="242"/>
      <c r="AG265" s="242"/>
      <c r="AH265" s="242"/>
      <c r="AI265" s="242"/>
      <c r="AJ265" s="242"/>
      <c r="AK265" s="242"/>
      <c r="AL265" s="242"/>
      <c r="AM265" s="242"/>
      <c r="AN265" s="242"/>
      <c r="AO265" s="242"/>
      <c r="AP265" s="242"/>
      <c r="AQ265" s="242"/>
      <c r="AR265" s="242"/>
      <c r="AS265" s="243"/>
      <c r="AT265" s="252"/>
      <c r="AU265" s="252"/>
      <c r="AV265" s="252"/>
      <c r="AW265" s="252"/>
      <c r="AX265" s="252"/>
      <c r="AY265" s="252"/>
      <c r="BC265" s="7">
        <f t="shared" si="13"/>
        <v>0</v>
      </c>
      <c r="BD265" s="7">
        <f t="shared" si="14"/>
        <v>0</v>
      </c>
      <c r="BE265" s="7">
        <f t="shared" si="15"/>
        <v>0</v>
      </c>
      <c r="BF265" s="7">
        <f t="shared" si="16"/>
        <v>0</v>
      </c>
    </row>
    <row r="266" spans="2:58" hidden="1" x14ac:dyDescent="0.2">
      <c r="B266" s="252"/>
      <c r="C266" s="252"/>
      <c r="D266" s="256"/>
      <c r="E266" s="257"/>
      <c r="F266" s="257"/>
      <c r="G266" s="257"/>
      <c r="H266" s="257"/>
      <c r="I266" s="257"/>
      <c r="J266" s="258"/>
      <c r="K266" s="241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  <c r="AA266" s="242"/>
      <c r="AB266" s="242"/>
      <c r="AC266" s="242"/>
      <c r="AD266" s="242"/>
      <c r="AE266" s="242"/>
      <c r="AF266" s="242"/>
      <c r="AG266" s="242"/>
      <c r="AH266" s="242"/>
      <c r="AI266" s="242"/>
      <c r="AJ266" s="242"/>
      <c r="AK266" s="242"/>
      <c r="AL266" s="242"/>
      <c r="AM266" s="242"/>
      <c r="AN266" s="242"/>
      <c r="AO266" s="242"/>
      <c r="AP266" s="242"/>
      <c r="AQ266" s="242"/>
      <c r="AR266" s="242"/>
      <c r="AS266" s="243"/>
      <c r="AT266" s="252"/>
      <c r="AU266" s="252"/>
      <c r="AV266" s="252"/>
      <c r="AW266" s="252"/>
      <c r="AX266" s="252"/>
      <c r="AY266" s="252"/>
      <c r="BC266" s="7">
        <f t="shared" si="13"/>
        <v>0</v>
      </c>
      <c r="BD266" s="7">
        <f t="shared" si="14"/>
        <v>0</v>
      </c>
      <c r="BE266" s="7">
        <f t="shared" si="15"/>
        <v>0</v>
      </c>
      <c r="BF266" s="7">
        <f t="shared" si="16"/>
        <v>0</v>
      </c>
    </row>
    <row r="267" spans="2:58" hidden="1" x14ac:dyDescent="0.2">
      <c r="B267" s="252"/>
      <c r="C267" s="252"/>
      <c r="D267" s="256"/>
      <c r="E267" s="257"/>
      <c r="F267" s="257"/>
      <c r="G267" s="257"/>
      <c r="H267" s="257"/>
      <c r="I267" s="257"/>
      <c r="J267" s="258"/>
      <c r="K267" s="241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  <c r="AA267" s="242"/>
      <c r="AB267" s="242"/>
      <c r="AC267" s="242"/>
      <c r="AD267" s="242"/>
      <c r="AE267" s="242"/>
      <c r="AF267" s="242"/>
      <c r="AG267" s="242"/>
      <c r="AH267" s="242"/>
      <c r="AI267" s="242"/>
      <c r="AJ267" s="242"/>
      <c r="AK267" s="242"/>
      <c r="AL267" s="242"/>
      <c r="AM267" s="242"/>
      <c r="AN267" s="242"/>
      <c r="AO267" s="242"/>
      <c r="AP267" s="242"/>
      <c r="AQ267" s="242"/>
      <c r="AR267" s="242"/>
      <c r="AS267" s="243"/>
      <c r="AT267" s="252"/>
      <c r="AU267" s="252"/>
      <c r="AV267" s="252"/>
      <c r="AW267" s="252"/>
      <c r="AX267" s="252"/>
      <c r="AY267" s="252"/>
      <c r="BC267" s="7">
        <f t="shared" si="13"/>
        <v>0</v>
      </c>
      <c r="BD267" s="7">
        <f t="shared" si="14"/>
        <v>0</v>
      </c>
      <c r="BE267" s="7">
        <f t="shared" si="15"/>
        <v>0</v>
      </c>
      <c r="BF267" s="7">
        <f t="shared" si="16"/>
        <v>0</v>
      </c>
    </row>
    <row r="268" spans="2:58" hidden="1" x14ac:dyDescent="0.2">
      <c r="B268" s="252"/>
      <c r="C268" s="252"/>
      <c r="D268" s="256"/>
      <c r="E268" s="257"/>
      <c r="F268" s="257"/>
      <c r="G268" s="257"/>
      <c r="H268" s="257"/>
      <c r="I268" s="257"/>
      <c r="J268" s="258"/>
      <c r="K268" s="241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  <c r="AA268" s="242"/>
      <c r="AB268" s="242"/>
      <c r="AC268" s="242"/>
      <c r="AD268" s="242"/>
      <c r="AE268" s="242"/>
      <c r="AF268" s="242"/>
      <c r="AG268" s="242"/>
      <c r="AH268" s="242"/>
      <c r="AI268" s="242"/>
      <c r="AJ268" s="242"/>
      <c r="AK268" s="242"/>
      <c r="AL268" s="242"/>
      <c r="AM268" s="242"/>
      <c r="AN268" s="242"/>
      <c r="AO268" s="242"/>
      <c r="AP268" s="242"/>
      <c r="AQ268" s="242"/>
      <c r="AR268" s="242"/>
      <c r="AS268" s="243"/>
      <c r="AT268" s="252"/>
      <c r="AU268" s="252"/>
      <c r="AV268" s="252"/>
      <c r="AW268" s="252"/>
      <c r="AX268" s="252"/>
      <c r="AY268" s="252"/>
      <c r="BC268" s="7">
        <f t="shared" si="13"/>
        <v>0</v>
      </c>
      <c r="BD268" s="7">
        <f t="shared" si="14"/>
        <v>0</v>
      </c>
      <c r="BE268" s="7">
        <f t="shared" si="15"/>
        <v>0</v>
      </c>
      <c r="BF268" s="7">
        <f t="shared" si="16"/>
        <v>0</v>
      </c>
    </row>
    <row r="269" spans="2:58" hidden="1" x14ac:dyDescent="0.2">
      <c r="B269" s="252"/>
      <c r="C269" s="252"/>
      <c r="D269" s="256"/>
      <c r="E269" s="257"/>
      <c r="F269" s="257"/>
      <c r="G269" s="257"/>
      <c r="H269" s="257"/>
      <c r="I269" s="257"/>
      <c r="J269" s="258"/>
      <c r="K269" s="241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  <c r="AD269" s="242"/>
      <c r="AE269" s="242"/>
      <c r="AF269" s="242"/>
      <c r="AG269" s="242"/>
      <c r="AH269" s="242"/>
      <c r="AI269" s="242"/>
      <c r="AJ269" s="242"/>
      <c r="AK269" s="242"/>
      <c r="AL269" s="242"/>
      <c r="AM269" s="242"/>
      <c r="AN269" s="242"/>
      <c r="AO269" s="242"/>
      <c r="AP269" s="242"/>
      <c r="AQ269" s="242"/>
      <c r="AR269" s="242"/>
      <c r="AS269" s="243"/>
      <c r="AT269" s="252"/>
      <c r="AU269" s="252"/>
      <c r="AV269" s="252"/>
      <c r="AW269" s="252"/>
      <c r="AX269" s="252"/>
      <c r="AY269" s="252"/>
      <c r="BC269" s="7">
        <f t="shared" si="13"/>
        <v>0</v>
      </c>
      <c r="BD269" s="7">
        <f t="shared" si="14"/>
        <v>0</v>
      </c>
      <c r="BE269" s="7">
        <f t="shared" si="15"/>
        <v>0</v>
      </c>
      <c r="BF269" s="7">
        <f t="shared" si="16"/>
        <v>0</v>
      </c>
    </row>
    <row r="270" spans="2:58" hidden="1" x14ac:dyDescent="0.2">
      <c r="B270" s="252"/>
      <c r="C270" s="252"/>
      <c r="D270" s="256"/>
      <c r="E270" s="257"/>
      <c r="F270" s="257"/>
      <c r="G270" s="257"/>
      <c r="H270" s="257"/>
      <c r="I270" s="257"/>
      <c r="J270" s="258"/>
      <c r="K270" s="241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2"/>
      <c r="AQ270" s="242"/>
      <c r="AR270" s="242"/>
      <c r="AS270" s="243"/>
      <c r="AT270" s="252"/>
      <c r="AU270" s="252"/>
      <c r="AV270" s="252"/>
      <c r="AW270" s="252"/>
      <c r="AX270" s="252"/>
      <c r="AY270" s="252"/>
      <c r="BC270" s="7">
        <f t="shared" si="13"/>
        <v>0</v>
      </c>
      <c r="BD270" s="7">
        <f t="shared" si="14"/>
        <v>0</v>
      </c>
      <c r="BE270" s="7">
        <f t="shared" si="15"/>
        <v>0</v>
      </c>
      <c r="BF270" s="7">
        <f t="shared" si="16"/>
        <v>0</v>
      </c>
    </row>
    <row r="271" spans="2:58" hidden="1" x14ac:dyDescent="0.2">
      <c r="B271" s="252"/>
      <c r="C271" s="252"/>
      <c r="D271" s="256"/>
      <c r="E271" s="257"/>
      <c r="F271" s="257"/>
      <c r="G271" s="257"/>
      <c r="H271" s="257"/>
      <c r="I271" s="257"/>
      <c r="J271" s="258"/>
      <c r="K271" s="241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  <c r="AA271" s="242"/>
      <c r="AB271" s="242"/>
      <c r="AC271" s="242"/>
      <c r="AD271" s="242"/>
      <c r="AE271" s="242"/>
      <c r="AF271" s="242"/>
      <c r="AG271" s="242"/>
      <c r="AH271" s="242"/>
      <c r="AI271" s="242"/>
      <c r="AJ271" s="242"/>
      <c r="AK271" s="242"/>
      <c r="AL271" s="242"/>
      <c r="AM271" s="242"/>
      <c r="AN271" s="242"/>
      <c r="AO271" s="242"/>
      <c r="AP271" s="242"/>
      <c r="AQ271" s="242"/>
      <c r="AR271" s="242"/>
      <c r="AS271" s="243"/>
      <c r="AT271" s="252"/>
      <c r="AU271" s="252"/>
      <c r="AV271" s="252"/>
      <c r="AW271" s="252"/>
      <c r="AX271" s="252"/>
      <c r="AY271" s="252"/>
      <c r="BC271" s="7">
        <f t="shared" si="13"/>
        <v>0</v>
      </c>
      <c r="BD271" s="7">
        <f t="shared" si="14"/>
        <v>0</v>
      </c>
      <c r="BE271" s="7">
        <f t="shared" si="15"/>
        <v>0</v>
      </c>
      <c r="BF271" s="7">
        <f t="shared" si="16"/>
        <v>0</v>
      </c>
    </row>
    <row r="272" spans="2:58" hidden="1" x14ac:dyDescent="0.2">
      <c r="B272" s="252"/>
      <c r="C272" s="252"/>
      <c r="D272" s="256"/>
      <c r="E272" s="257"/>
      <c r="F272" s="257"/>
      <c r="G272" s="257"/>
      <c r="H272" s="257"/>
      <c r="I272" s="257"/>
      <c r="J272" s="258"/>
      <c r="K272" s="241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  <c r="AA272" s="242"/>
      <c r="AB272" s="242"/>
      <c r="AC272" s="242"/>
      <c r="AD272" s="242"/>
      <c r="AE272" s="242"/>
      <c r="AF272" s="242"/>
      <c r="AG272" s="242"/>
      <c r="AH272" s="242"/>
      <c r="AI272" s="242"/>
      <c r="AJ272" s="242"/>
      <c r="AK272" s="242"/>
      <c r="AL272" s="242"/>
      <c r="AM272" s="242"/>
      <c r="AN272" s="242"/>
      <c r="AO272" s="242"/>
      <c r="AP272" s="242"/>
      <c r="AQ272" s="242"/>
      <c r="AR272" s="242"/>
      <c r="AS272" s="243"/>
      <c r="AT272" s="252"/>
      <c r="AU272" s="252"/>
      <c r="AV272" s="252"/>
      <c r="AW272" s="252"/>
      <c r="AX272" s="252"/>
      <c r="AY272" s="252"/>
      <c r="BC272" s="7">
        <f t="shared" si="13"/>
        <v>0</v>
      </c>
      <c r="BD272" s="7">
        <f t="shared" si="14"/>
        <v>0</v>
      </c>
      <c r="BE272" s="7">
        <f t="shared" si="15"/>
        <v>0</v>
      </c>
      <c r="BF272" s="7">
        <f t="shared" si="16"/>
        <v>0</v>
      </c>
    </row>
    <row r="273" spans="2:58" hidden="1" x14ac:dyDescent="0.2">
      <c r="B273" s="252"/>
      <c r="C273" s="252"/>
      <c r="D273" s="256"/>
      <c r="E273" s="257"/>
      <c r="F273" s="257"/>
      <c r="G273" s="257"/>
      <c r="H273" s="257"/>
      <c r="I273" s="257"/>
      <c r="J273" s="258"/>
      <c r="K273" s="241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  <c r="AA273" s="242"/>
      <c r="AB273" s="242"/>
      <c r="AC273" s="242"/>
      <c r="AD273" s="242"/>
      <c r="AE273" s="242"/>
      <c r="AF273" s="242"/>
      <c r="AG273" s="242"/>
      <c r="AH273" s="242"/>
      <c r="AI273" s="242"/>
      <c r="AJ273" s="242"/>
      <c r="AK273" s="242"/>
      <c r="AL273" s="242"/>
      <c r="AM273" s="242"/>
      <c r="AN273" s="242"/>
      <c r="AO273" s="242"/>
      <c r="AP273" s="242"/>
      <c r="AQ273" s="242"/>
      <c r="AR273" s="242"/>
      <c r="AS273" s="243"/>
      <c r="AT273" s="252"/>
      <c r="AU273" s="252"/>
      <c r="AV273" s="252"/>
      <c r="AW273" s="252"/>
      <c r="AX273" s="252"/>
      <c r="AY273" s="252"/>
      <c r="BC273" s="7">
        <f t="shared" si="13"/>
        <v>0</v>
      </c>
      <c r="BD273" s="7">
        <f t="shared" si="14"/>
        <v>0</v>
      </c>
      <c r="BE273" s="7">
        <f t="shared" si="15"/>
        <v>0</v>
      </c>
      <c r="BF273" s="7">
        <f t="shared" si="16"/>
        <v>0</v>
      </c>
    </row>
    <row r="274" spans="2:58" hidden="1" x14ac:dyDescent="0.2">
      <c r="B274" s="252"/>
      <c r="C274" s="252"/>
      <c r="D274" s="256"/>
      <c r="E274" s="257"/>
      <c r="F274" s="257"/>
      <c r="G274" s="257"/>
      <c r="H274" s="257"/>
      <c r="I274" s="257"/>
      <c r="J274" s="258"/>
      <c r="K274" s="241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  <c r="AA274" s="242"/>
      <c r="AB274" s="242"/>
      <c r="AC274" s="242"/>
      <c r="AD274" s="242"/>
      <c r="AE274" s="242"/>
      <c r="AF274" s="242"/>
      <c r="AG274" s="242"/>
      <c r="AH274" s="242"/>
      <c r="AI274" s="242"/>
      <c r="AJ274" s="242"/>
      <c r="AK274" s="242"/>
      <c r="AL274" s="242"/>
      <c r="AM274" s="242"/>
      <c r="AN274" s="242"/>
      <c r="AO274" s="242"/>
      <c r="AP274" s="242"/>
      <c r="AQ274" s="242"/>
      <c r="AR274" s="242"/>
      <c r="AS274" s="243"/>
      <c r="AT274" s="252"/>
      <c r="AU274" s="252"/>
      <c r="AV274" s="252"/>
      <c r="AW274" s="252"/>
      <c r="AX274" s="252"/>
      <c r="AY274" s="252"/>
      <c r="BC274" s="7">
        <f t="shared" si="13"/>
        <v>0</v>
      </c>
      <c r="BD274" s="7">
        <f t="shared" si="14"/>
        <v>0</v>
      </c>
      <c r="BE274" s="7">
        <f t="shared" si="15"/>
        <v>0</v>
      </c>
      <c r="BF274" s="7">
        <f t="shared" si="16"/>
        <v>0</v>
      </c>
    </row>
    <row r="275" spans="2:58" hidden="1" x14ac:dyDescent="0.2">
      <c r="B275" s="252"/>
      <c r="C275" s="252"/>
      <c r="D275" s="256"/>
      <c r="E275" s="257"/>
      <c r="F275" s="257"/>
      <c r="G275" s="257"/>
      <c r="H275" s="257"/>
      <c r="I275" s="257"/>
      <c r="J275" s="258"/>
      <c r="K275" s="241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  <c r="AA275" s="242"/>
      <c r="AB275" s="242"/>
      <c r="AC275" s="242"/>
      <c r="AD275" s="242"/>
      <c r="AE275" s="242"/>
      <c r="AF275" s="242"/>
      <c r="AG275" s="242"/>
      <c r="AH275" s="242"/>
      <c r="AI275" s="242"/>
      <c r="AJ275" s="242"/>
      <c r="AK275" s="242"/>
      <c r="AL275" s="242"/>
      <c r="AM275" s="242"/>
      <c r="AN275" s="242"/>
      <c r="AO275" s="242"/>
      <c r="AP275" s="242"/>
      <c r="AQ275" s="242"/>
      <c r="AR275" s="242"/>
      <c r="AS275" s="243"/>
      <c r="AT275" s="252"/>
      <c r="AU275" s="252"/>
      <c r="AV275" s="252"/>
      <c r="AW275" s="252"/>
      <c r="AX275" s="252"/>
      <c r="AY275" s="252"/>
      <c r="BC275" s="7">
        <f t="shared" si="13"/>
        <v>0</v>
      </c>
      <c r="BD275" s="7">
        <f t="shared" si="14"/>
        <v>0</v>
      </c>
      <c r="BE275" s="7">
        <f t="shared" si="15"/>
        <v>0</v>
      </c>
      <c r="BF275" s="7">
        <f t="shared" si="16"/>
        <v>0</v>
      </c>
    </row>
    <row r="276" spans="2:58" hidden="1" x14ac:dyDescent="0.2">
      <c r="B276" s="252"/>
      <c r="C276" s="252"/>
      <c r="D276" s="256"/>
      <c r="E276" s="257"/>
      <c r="F276" s="257"/>
      <c r="G276" s="257"/>
      <c r="H276" s="257"/>
      <c r="I276" s="257"/>
      <c r="J276" s="258"/>
      <c r="K276" s="241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42"/>
      <c r="AL276" s="242"/>
      <c r="AM276" s="242"/>
      <c r="AN276" s="242"/>
      <c r="AO276" s="242"/>
      <c r="AP276" s="242"/>
      <c r="AQ276" s="242"/>
      <c r="AR276" s="242"/>
      <c r="AS276" s="243"/>
      <c r="AT276" s="252"/>
      <c r="AU276" s="252"/>
      <c r="AV276" s="252"/>
      <c r="AW276" s="252"/>
      <c r="AX276" s="252"/>
      <c r="AY276" s="252"/>
      <c r="BC276" s="7">
        <f t="shared" si="13"/>
        <v>0</v>
      </c>
      <c r="BD276" s="7">
        <f t="shared" si="14"/>
        <v>0</v>
      </c>
      <c r="BE276" s="7">
        <f t="shared" si="15"/>
        <v>0</v>
      </c>
      <c r="BF276" s="7">
        <f t="shared" si="16"/>
        <v>0</v>
      </c>
    </row>
    <row r="277" spans="2:58" hidden="1" x14ac:dyDescent="0.2">
      <c r="B277" s="252"/>
      <c r="C277" s="252"/>
      <c r="D277" s="256"/>
      <c r="E277" s="257"/>
      <c r="F277" s="257"/>
      <c r="G277" s="257"/>
      <c r="H277" s="257"/>
      <c r="I277" s="257"/>
      <c r="J277" s="258"/>
      <c r="K277" s="241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  <c r="AA277" s="242"/>
      <c r="AB277" s="242"/>
      <c r="AC277" s="242"/>
      <c r="AD277" s="242"/>
      <c r="AE277" s="242"/>
      <c r="AF277" s="242"/>
      <c r="AG277" s="242"/>
      <c r="AH277" s="242"/>
      <c r="AI277" s="242"/>
      <c r="AJ277" s="242"/>
      <c r="AK277" s="242"/>
      <c r="AL277" s="242"/>
      <c r="AM277" s="242"/>
      <c r="AN277" s="242"/>
      <c r="AO277" s="242"/>
      <c r="AP277" s="242"/>
      <c r="AQ277" s="242"/>
      <c r="AR277" s="242"/>
      <c r="AS277" s="243"/>
      <c r="AT277" s="252"/>
      <c r="AU277" s="252"/>
      <c r="AV277" s="252"/>
      <c r="AW277" s="252"/>
      <c r="AX277" s="252"/>
      <c r="AY277" s="252"/>
      <c r="BC277" s="7">
        <f t="shared" si="13"/>
        <v>0</v>
      </c>
      <c r="BD277" s="7">
        <f t="shared" si="14"/>
        <v>0</v>
      </c>
      <c r="BE277" s="7">
        <f t="shared" si="15"/>
        <v>0</v>
      </c>
      <c r="BF277" s="7">
        <f t="shared" si="16"/>
        <v>0</v>
      </c>
    </row>
    <row r="278" spans="2:58" hidden="1" x14ac:dyDescent="0.2">
      <c r="B278" s="252"/>
      <c r="C278" s="252"/>
      <c r="D278" s="256"/>
      <c r="E278" s="257"/>
      <c r="F278" s="257"/>
      <c r="G278" s="257"/>
      <c r="H278" s="257"/>
      <c r="I278" s="257"/>
      <c r="J278" s="258"/>
      <c r="K278" s="241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  <c r="AA278" s="242"/>
      <c r="AB278" s="242"/>
      <c r="AC278" s="242"/>
      <c r="AD278" s="242"/>
      <c r="AE278" s="242"/>
      <c r="AF278" s="242"/>
      <c r="AG278" s="242"/>
      <c r="AH278" s="242"/>
      <c r="AI278" s="242"/>
      <c r="AJ278" s="242"/>
      <c r="AK278" s="242"/>
      <c r="AL278" s="242"/>
      <c r="AM278" s="242"/>
      <c r="AN278" s="242"/>
      <c r="AO278" s="242"/>
      <c r="AP278" s="242"/>
      <c r="AQ278" s="242"/>
      <c r="AR278" s="242"/>
      <c r="AS278" s="243"/>
      <c r="AT278" s="252"/>
      <c r="AU278" s="252"/>
      <c r="AV278" s="252"/>
      <c r="AW278" s="252"/>
      <c r="AX278" s="252"/>
      <c r="AY278" s="252"/>
      <c r="BC278" s="7">
        <f t="shared" si="13"/>
        <v>0</v>
      </c>
      <c r="BD278" s="7">
        <f t="shared" si="14"/>
        <v>0</v>
      </c>
      <c r="BE278" s="7">
        <f t="shared" si="15"/>
        <v>0</v>
      </c>
      <c r="BF278" s="7">
        <f t="shared" si="16"/>
        <v>0</v>
      </c>
    </row>
    <row r="279" spans="2:58" hidden="1" x14ac:dyDescent="0.2">
      <c r="B279" s="252"/>
      <c r="C279" s="252"/>
      <c r="D279" s="256"/>
      <c r="E279" s="257"/>
      <c r="F279" s="257"/>
      <c r="G279" s="257"/>
      <c r="H279" s="257"/>
      <c r="I279" s="257"/>
      <c r="J279" s="258"/>
      <c r="K279" s="241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  <c r="AI279" s="242"/>
      <c r="AJ279" s="242"/>
      <c r="AK279" s="242"/>
      <c r="AL279" s="242"/>
      <c r="AM279" s="242"/>
      <c r="AN279" s="242"/>
      <c r="AO279" s="242"/>
      <c r="AP279" s="242"/>
      <c r="AQ279" s="242"/>
      <c r="AR279" s="242"/>
      <c r="AS279" s="243"/>
      <c r="AT279" s="252"/>
      <c r="AU279" s="252"/>
      <c r="AV279" s="252"/>
      <c r="AW279" s="252"/>
      <c r="AX279" s="252"/>
      <c r="AY279" s="252"/>
      <c r="BC279" s="7">
        <f t="shared" si="13"/>
        <v>0</v>
      </c>
      <c r="BD279" s="7">
        <f t="shared" si="14"/>
        <v>0</v>
      </c>
      <c r="BE279" s="7">
        <f t="shared" si="15"/>
        <v>0</v>
      </c>
      <c r="BF279" s="7">
        <f t="shared" si="16"/>
        <v>0</v>
      </c>
    </row>
    <row r="280" spans="2:58" hidden="1" x14ac:dyDescent="0.2">
      <c r="B280" s="252"/>
      <c r="C280" s="252"/>
      <c r="D280" s="256"/>
      <c r="E280" s="257"/>
      <c r="F280" s="257"/>
      <c r="G280" s="257"/>
      <c r="H280" s="257"/>
      <c r="I280" s="257"/>
      <c r="J280" s="258"/>
      <c r="K280" s="241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242"/>
      <c r="AJ280" s="242"/>
      <c r="AK280" s="242"/>
      <c r="AL280" s="242"/>
      <c r="AM280" s="242"/>
      <c r="AN280" s="242"/>
      <c r="AO280" s="242"/>
      <c r="AP280" s="242"/>
      <c r="AQ280" s="242"/>
      <c r="AR280" s="242"/>
      <c r="AS280" s="243"/>
      <c r="AT280" s="252"/>
      <c r="AU280" s="252"/>
      <c r="AV280" s="252"/>
      <c r="AW280" s="252"/>
      <c r="AX280" s="252"/>
      <c r="AY280" s="252"/>
      <c r="BC280" s="7">
        <f t="shared" si="13"/>
        <v>0</v>
      </c>
      <c r="BD280" s="7">
        <f t="shared" si="14"/>
        <v>0</v>
      </c>
      <c r="BE280" s="7">
        <f t="shared" si="15"/>
        <v>0</v>
      </c>
      <c r="BF280" s="7">
        <f t="shared" si="16"/>
        <v>0</v>
      </c>
    </row>
    <row r="281" spans="2:58" hidden="1" x14ac:dyDescent="0.2">
      <c r="B281" s="252"/>
      <c r="C281" s="252"/>
      <c r="D281" s="256"/>
      <c r="E281" s="257"/>
      <c r="F281" s="257"/>
      <c r="G281" s="257"/>
      <c r="H281" s="257"/>
      <c r="I281" s="257"/>
      <c r="J281" s="258"/>
      <c r="K281" s="241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/>
      <c r="AD281" s="242"/>
      <c r="AE281" s="242"/>
      <c r="AF281" s="242"/>
      <c r="AG281" s="242"/>
      <c r="AH281" s="242"/>
      <c r="AI281" s="242"/>
      <c r="AJ281" s="242"/>
      <c r="AK281" s="242"/>
      <c r="AL281" s="242"/>
      <c r="AM281" s="242"/>
      <c r="AN281" s="242"/>
      <c r="AO281" s="242"/>
      <c r="AP281" s="242"/>
      <c r="AQ281" s="242"/>
      <c r="AR281" s="242"/>
      <c r="AS281" s="243"/>
      <c r="AT281" s="252"/>
      <c r="AU281" s="252"/>
      <c r="AV281" s="252"/>
      <c r="AW281" s="252"/>
      <c r="AX281" s="252"/>
      <c r="AY281" s="252"/>
      <c r="BC281" s="7">
        <f t="shared" si="13"/>
        <v>0</v>
      </c>
      <c r="BD281" s="7">
        <f t="shared" si="14"/>
        <v>0</v>
      </c>
      <c r="BE281" s="7">
        <f t="shared" si="15"/>
        <v>0</v>
      </c>
      <c r="BF281" s="7">
        <f t="shared" si="16"/>
        <v>0</v>
      </c>
    </row>
    <row r="282" spans="2:58" hidden="1" x14ac:dyDescent="0.2">
      <c r="B282" s="252"/>
      <c r="C282" s="252"/>
      <c r="D282" s="256"/>
      <c r="E282" s="257"/>
      <c r="F282" s="257"/>
      <c r="G282" s="257"/>
      <c r="H282" s="257"/>
      <c r="I282" s="257"/>
      <c r="J282" s="258"/>
      <c r="K282" s="241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  <c r="AA282" s="242"/>
      <c r="AB282" s="242"/>
      <c r="AC282" s="242"/>
      <c r="AD282" s="242"/>
      <c r="AE282" s="242"/>
      <c r="AF282" s="242"/>
      <c r="AG282" s="242"/>
      <c r="AH282" s="242"/>
      <c r="AI282" s="242"/>
      <c r="AJ282" s="242"/>
      <c r="AK282" s="242"/>
      <c r="AL282" s="242"/>
      <c r="AM282" s="242"/>
      <c r="AN282" s="242"/>
      <c r="AO282" s="242"/>
      <c r="AP282" s="242"/>
      <c r="AQ282" s="242"/>
      <c r="AR282" s="242"/>
      <c r="AS282" s="243"/>
      <c r="AT282" s="252"/>
      <c r="AU282" s="252"/>
      <c r="AV282" s="252"/>
      <c r="AW282" s="252"/>
      <c r="AX282" s="252"/>
      <c r="AY282" s="252"/>
      <c r="BC282" s="7">
        <f t="shared" si="13"/>
        <v>0</v>
      </c>
      <c r="BD282" s="7">
        <f t="shared" si="14"/>
        <v>0</v>
      </c>
      <c r="BE282" s="7">
        <f t="shared" si="15"/>
        <v>0</v>
      </c>
      <c r="BF282" s="7">
        <f t="shared" si="16"/>
        <v>0</v>
      </c>
    </row>
    <row r="283" spans="2:58" ht="15" hidden="1" customHeight="1" x14ac:dyDescent="0.2">
      <c r="B283" s="252"/>
      <c r="C283" s="252"/>
      <c r="D283" s="256"/>
      <c r="E283" s="257"/>
      <c r="F283" s="257"/>
      <c r="G283" s="257"/>
      <c r="H283" s="257"/>
      <c r="I283" s="257"/>
      <c r="J283" s="258"/>
      <c r="K283" s="241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  <c r="AC283" s="242"/>
      <c r="AD283" s="242"/>
      <c r="AE283" s="242"/>
      <c r="AF283" s="242"/>
      <c r="AG283" s="242"/>
      <c r="AH283" s="242"/>
      <c r="AI283" s="242"/>
      <c r="AJ283" s="242"/>
      <c r="AK283" s="242"/>
      <c r="AL283" s="242"/>
      <c r="AM283" s="242"/>
      <c r="AN283" s="242"/>
      <c r="AO283" s="242"/>
      <c r="AP283" s="242"/>
      <c r="AQ283" s="242"/>
      <c r="AR283" s="242"/>
      <c r="AS283" s="243"/>
      <c r="AT283" s="252"/>
      <c r="AU283" s="252"/>
      <c r="AV283" s="252"/>
      <c r="AW283" s="252"/>
      <c r="AX283" s="252"/>
      <c r="AY283" s="252"/>
      <c r="BC283" s="7">
        <f t="shared" si="13"/>
        <v>0</v>
      </c>
      <c r="BD283" s="7">
        <f t="shared" si="14"/>
        <v>0</v>
      </c>
      <c r="BE283" s="7">
        <f t="shared" si="15"/>
        <v>0</v>
      </c>
      <c r="BF283" s="7">
        <f t="shared" si="16"/>
        <v>0</v>
      </c>
    </row>
    <row r="284" spans="2:58" ht="15" hidden="1" customHeight="1" x14ac:dyDescent="0.2">
      <c r="B284" s="252"/>
      <c r="C284" s="252"/>
      <c r="D284" s="256"/>
      <c r="E284" s="257"/>
      <c r="F284" s="257"/>
      <c r="G284" s="257"/>
      <c r="H284" s="257"/>
      <c r="I284" s="257"/>
      <c r="J284" s="258"/>
      <c r="K284" s="241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N284" s="242"/>
      <c r="AO284" s="242"/>
      <c r="AP284" s="242"/>
      <c r="AQ284" s="242"/>
      <c r="AR284" s="242"/>
      <c r="AS284" s="243"/>
      <c r="AT284" s="252"/>
      <c r="AU284" s="252"/>
      <c r="AV284" s="252"/>
      <c r="AW284" s="252"/>
      <c r="AX284" s="252"/>
      <c r="AY284" s="252"/>
      <c r="BC284" s="7">
        <f t="shared" si="13"/>
        <v>0</v>
      </c>
      <c r="BD284" s="7">
        <f t="shared" si="14"/>
        <v>0</v>
      </c>
      <c r="BE284" s="7">
        <f t="shared" si="15"/>
        <v>0</v>
      </c>
      <c r="BF284" s="7">
        <f t="shared" si="16"/>
        <v>0</v>
      </c>
    </row>
    <row r="285" spans="2:58" ht="15" hidden="1" customHeight="1" x14ac:dyDescent="0.2">
      <c r="B285" s="252"/>
      <c r="C285" s="252"/>
      <c r="D285" s="256"/>
      <c r="E285" s="257"/>
      <c r="F285" s="257"/>
      <c r="G285" s="257"/>
      <c r="H285" s="257"/>
      <c r="I285" s="257"/>
      <c r="J285" s="258"/>
      <c r="K285" s="241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42"/>
      <c r="AL285" s="242"/>
      <c r="AM285" s="242"/>
      <c r="AN285" s="242"/>
      <c r="AO285" s="242"/>
      <c r="AP285" s="242"/>
      <c r="AQ285" s="242"/>
      <c r="AR285" s="242"/>
      <c r="AS285" s="243"/>
      <c r="AT285" s="252"/>
      <c r="AU285" s="252"/>
      <c r="AV285" s="252"/>
      <c r="AW285" s="252"/>
      <c r="AX285" s="252"/>
      <c r="AY285" s="252"/>
      <c r="BC285" s="7">
        <f t="shared" si="13"/>
        <v>0</v>
      </c>
      <c r="BD285" s="7">
        <f t="shared" si="14"/>
        <v>0</v>
      </c>
      <c r="BE285" s="7">
        <f t="shared" si="15"/>
        <v>0</v>
      </c>
      <c r="BF285" s="7">
        <f t="shared" si="16"/>
        <v>0</v>
      </c>
    </row>
    <row r="286" spans="2:58" ht="15" hidden="1" customHeight="1" x14ac:dyDescent="0.2">
      <c r="B286" s="252"/>
      <c r="C286" s="252"/>
      <c r="D286" s="256"/>
      <c r="E286" s="257"/>
      <c r="F286" s="257"/>
      <c r="G286" s="257"/>
      <c r="H286" s="257"/>
      <c r="I286" s="257"/>
      <c r="J286" s="258"/>
      <c r="K286" s="241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42"/>
      <c r="AL286" s="242"/>
      <c r="AM286" s="242"/>
      <c r="AN286" s="242"/>
      <c r="AO286" s="242"/>
      <c r="AP286" s="242"/>
      <c r="AQ286" s="242"/>
      <c r="AR286" s="242"/>
      <c r="AS286" s="243"/>
      <c r="AT286" s="252"/>
      <c r="AU286" s="252"/>
      <c r="AV286" s="252"/>
      <c r="AW286" s="252"/>
      <c r="AX286" s="252"/>
      <c r="AY286" s="252"/>
      <c r="BC286" s="7">
        <f t="shared" si="13"/>
        <v>0</v>
      </c>
      <c r="BD286" s="7">
        <f t="shared" si="14"/>
        <v>0</v>
      </c>
      <c r="BE286" s="7">
        <f t="shared" si="15"/>
        <v>0</v>
      </c>
      <c r="BF286" s="7">
        <f t="shared" si="16"/>
        <v>0</v>
      </c>
    </row>
    <row r="287" spans="2:58" ht="15" hidden="1" customHeight="1" x14ac:dyDescent="0.2">
      <c r="B287" s="252"/>
      <c r="C287" s="252"/>
      <c r="D287" s="256"/>
      <c r="E287" s="257"/>
      <c r="F287" s="257"/>
      <c r="G287" s="257"/>
      <c r="H287" s="257"/>
      <c r="I287" s="257"/>
      <c r="J287" s="258"/>
      <c r="K287" s="241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42"/>
      <c r="AL287" s="242"/>
      <c r="AM287" s="242"/>
      <c r="AN287" s="242"/>
      <c r="AO287" s="242"/>
      <c r="AP287" s="242"/>
      <c r="AQ287" s="242"/>
      <c r="AR287" s="242"/>
      <c r="AS287" s="243"/>
      <c r="AT287" s="252"/>
      <c r="AU287" s="252"/>
      <c r="AV287" s="252"/>
      <c r="AW287" s="252"/>
      <c r="AX287" s="252"/>
      <c r="AY287" s="252"/>
      <c r="BC287" s="7">
        <f t="shared" si="13"/>
        <v>0</v>
      </c>
      <c r="BD287" s="7">
        <f t="shared" si="14"/>
        <v>0</v>
      </c>
      <c r="BE287" s="7">
        <f t="shared" si="15"/>
        <v>0</v>
      </c>
      <c r="BF287" s="7">
        <f t="shared" si="16"/>
        <v>0</v>
      </c>
    </row>
    <row r="288" spans="2:58" ht="15" hidden="1" customHeight="1" x14ac:dyDescent="0.2">
      <c r="B288" s="252"/>
      <c r="C288" s="252"/>
      <c r="D288" s="256"/>
      <c r="E288" s="257"/>
      <c r="F288" s="257"/>
      <c r="G288" s="257"/>
      <c r="H288" s="257"/>
      <c r="I288" s="257"/>
      <c r="J288" s="258"/>
      <c r="K288" s="241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42"/>
      <c r="AL288" s="242"/>
      <c r="AM288" s="242"/>
      <c r="AN288" s="242"/>
      <c r="AO288" s="242"/>
      <c r="AP288" s="242"/>
      <c r="AQ288" s="242"/>
      <c r="AR288" s="242"/>
      <c r="AS288" s="243"/>
      <c r="AT288" s="252"/>
      <c r="AU288" s="252"/>
      <c r="AV288" s="252"/>
      <c r="AW288" s="252"/>
      <c r="AX288" s="252"/>
      <c r="AY288" s="252"/>
      <c r="BC288" s="7">
        <f t="shared" si="13"/>
        <v>0</v>
      </c>
      <c r="BD288" s="7">
        <f t="shared" si="14"/>
        <v>0</v>
      </c>
      <c r="BE288" s="7">
        <f t="shared" si="15"/>
        <v>0</v>
      </c>
      <c r="BF288" s="7">
        <f t="shared" si="16"/>
        <v>0</v>
      </c>
    </row>
    <row r="289" spans="2:58" ht="15" hidden="1" customHeight="1" x14ac:dyDescent="0.2">
      <c r="B289" s="252"/>
      <c r="C289" s="252"/>
      <c r="D289" s="256"/>
      <c r="E289" s="257"/>
      <c r="F289" s="257"/>
      <c r="G289" s="257"/>
      <c r="H289" s="257"/>
      <c r="I289" s="257"/>
      <c r="J289" s="258"/>
      <c r="K289" s="241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N289" s="242"/>
      <c r="AO289" s="242"/>
      <c r="AP289" s="242"/>
      <c r="AQ289" s="242"/>
      <c r="AR289" s="242"/>
      <c r="AS289" s="243"/>
      <c r="AT289" s="252"/>
      <c r="AU289" s="252"/>
      <c r="AV289" s="252"/>
      <c r="AW289" s="252"/>
      <c r="AX289" s="252"/>
      <c r="AY289" s="252"/>
      <c r="BC289" s="7">
        <f t="shared" si="13"/>
        <v>0</v>
      </c>
      <c r="BD289" s="7">
        <f t="shared" si="14"/>
        <v>0</v>
      </c>
      <c r="BE289" s="7">
        <f t="shared" si="15"/>
        <v>0</v>
      </c>
      <c r="BF289" s="7">
        <f t="shared" si="16"/>
        <v>0</v>
      </c>
    </row>
    <row r="290" spans="2:58" ht="15" hidden="1" customHeight="1" x14ac:dyDescent="0.2">
      <c r="B290" s="252"/>
      <c r="C290" s="252"/>
      <c r="D290" s="256"/>
      <c r="E290" s="257"/>
      <c r="F290" s="257"/>
      <c r="G290" s="257"/>
      <c r="H290" s="257"/>
      <c r="I290" s="257"/>
      <c r="J290" s="258"/>
      <c r="K290" s="241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  <c r="AA290" s="242"/>
      <c r="AB290" s="242"/>
      <c r="AC290" s="242"/>
      <c r="AD290" s="242"/>
      <c r="AE290" s="242"/>
      <c r="AF290" s="242"/>
      <c r="AG290" s="242"/>
      <c r="AH290" s="242"/>
      <c r="AI290" s="242"/>
      <c r="AJ290" s="242"/>
      <c r="AK290" s="242"/>
      <c r="AL290" s="242"/>
      <c r="AM290" s="242"/>
      <c r="AN290" s="242"/>
      <c r="AO290" s="242"/>
      <c r="AP290" s="242"/>
      <c r="AQ290" s="242"/>
      <c r="AR290" s="242"/>
      <c r="AS290" s="243"/>
      <c r="AT290" s="252"/>
      <c r="AU290" s="252"/>
      <c r="AV290" s="252"/>
      <c r="AW290" s="252"/>
      <c r="AX290" s="252"/>
      <c r="AY290" s="252"/>
      <c r="BC290" s="7">
        <f t="shared" si="13"/>
        <v>0</v>
      </c>
      <c r="BD290" s="7">
        <f t="shared" si="14"/>
        <v>0</v>
      </c>
      <c r="BE290" s="7">
        <f t="shared" si="15"/>
        <v>0</v>
      </c>
      <c r="BF290" s="7">
        <f t="shared" si="16"/>
        <v>0</v>
      </c>
    </row>
    <row r="291" spans="2:58" ht="15" hidden="1" customHeight="1" x14ac:dyDescent="0.2">
      <c r="B291" s="252"/>
      <c r="C291" s="252"/>
      <c r="D291" s="256"/>
      <c r="E291" s="257"/>
      <c r="F291" s="257"/>
      <c r="G291" s="257"/>
      <c r="H291" s="257"/>
      <c r="I291" s="257"/>
      <c r="J291" s="258"/>
      <c r="K291" s="241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  <c r="AA291" s="242"/>
      <c r="AB291" s="242"/>
      <c r="AC291" s="242"/>
      <c r="AD291" s="242"/>
      <c r="AE291" s="242"/>
      <c r="AF291" s="242"/>
      <c r="AG291" s="242"/>
      <c r="AH291" s="242"/>
      <c r="AI291" s="242"/>
      <c r="AJ291" s="242"/>
      <c r="AK291" s="242"/>
      <c r="AL291" s="242"/>
      <c r="AM291" s="242"/>
      <c r="AN291" s="242"/>
      <c r="AO291" s="242"/>
      <c r="AP291" s="242"/>
      <c r="AQ291" s="242"/>
      <c r="AR291" s="242"/>
      <c r="AS291" s="243"/>
      <c r="AT291" s="252"/>
      <c r="AU291" s="252"/>
      <c r="AV291" s="252"/>
      <c r="AW291" s="252"/>
      <c r="AX291" s="252"/>
      <c r="AY291" s="252"/>
      <c r="BC291" s="7">
        <f t="shared" si="13"/>
        <v>0</v>
      </c>
      <c r="BD291" s="7">
        <f t="shared" si="14"/>
        <v>0</v>
      </c>
      <c r="BE291" s="7">
        <f t="shared" si="15"/>
        <v>0</v>
      </c>
      <c r="BF291" s="7">
        <f t="shared" si="16"/>
        <v>0</v>
      </c>
    </row>
    <row r="292" spans="2:58" ht="15" hidden="1" customHeight="1" x14ac:dyDescent="0.2">
      <c r="B292" s="252"/>
      <c r="C292" s="252"/>
      <c r="D292" s="256"/>
      <c r="E292" s="257"/>
      <c r="F292" s="257"/>
      <c r="G292" s="257"/>
      <c r="H292" s="257"/>
      <c r="I292" s="257"/>
      <c r="J292" s="258"/>
      <c r="K292" s="241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  <c r="AA292" s="242"/>
      <c r="AB292" s="242"/>
      <c r="AC292" s="242"/>
      <c r="AD292" s="242"/>
      <c r="AE292" s="242"/>
      <c r="AF292" s="242"/>
      <c r="AG292" s="242"/>
      <c r="AH292" s="242"/>
      <c r="AI292" s="242"/>
      <c r="AJ292" s="242"/>
      <c r="AK292" s="242"/>
      <c r="AL292" s="242"/>
      <c r="AM292" s="242"/>
      <c r="AN292" s="242"/>
      <c r="AO292" s="242"/>
      <c r="AP292" s="242"/>
      <c r="AQ292" s="242"/>
      <c r="AR292" s="242"/>
      <c r="AS292" s="243"/>
      <c r="AT292" s="252"/>
      <c r="AU292" s="252"/>
      <c r="AV292" s="252"/>
      <c r="AW292" s="252"/>
      <c r="AX292" s="252"/>
      <c r="AY292" s="252"/>
      <c r="BC292" s="7">
        <f t="shared" si="13"/>
        <v>0</v>
      </c>
      <c r="BD292" s="7">
        <f t="shared" si="14"/>
        <v>0</v>
      </c>
      <c r="BE292" s="7">
        <f t="shared" si="15"/>
        <v>0</v>
      </c>
      <c r="BF292" s="7">
        <f t="shared" si="16"/>
        <v>0</v>
      </c>
    </row>
    <row r="293" spans="2:58" ht="15" hidden="1" customHeight="1" x14ac:dyDescent="0.2">
      <c r="B293" s="252"/>
      <c r="C293" s="252"/>
      <c r="D293" s="256"/>
      <c r="E293" s="257"/>
      <c r="F293" s="257"/>
      <c r="G293" s="257"/>
      <c r="H293" s="257"/>
      <c r="I293" s="257"/>
      <c r="J293" s="258"/>
      <c r="K293" s="241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  <c r="AA293" s="242"/>
      <c r="AB293" s="242"/>
      <c r="AC293" s="242"/>
      <c r="AD293" s="242"/>
      <c r="AE293" s="242"/>
      <c r="AF293" s="242"/>
      <c r="AG293" s="242"/>
      <c r="AH293" s="242"/>
      <c r="AI293" s="242"/>
      <c r="AJ293" s="242"/>
      <c r="AK293" s="242"/>
      <c r="AL293" s="242"/>
      <c r="AM293" s="242"/>
      <c r="AN293" s="242"/>
      <c r="AO293" s="242"/>
      <c r="AP293" s="242"/>
      <c r="AQ293" s="242"/>
      <c r="AR293" s="242"/>
      <c r="AS293" s="243"/>
      <c r="AT293" s="252"/>
      <c r="AU293" s="252"/>
      <c r="AV293" s="252"/>
      <c r="AW293" s="252"/>
      <c r="AX293" s="252"/>
      <c r="AY293" s="252"/>
      <c r="BC293" s="7">
        <f t="shared" si="13"/>
        <v>0</v>
      </c>
      <c r="BD293" s="7">
        <f t="shared" si="14"/>
        <v>0</v>
      </c>
      <c r="BE293" s="7">
        <f t="shared" si="15"/>
        <v>0</v>
      </c>
      <c r="BF293" s="7">
        <f t="shared" si="16"/>
        <v>0</v>
      </c>
    </row>
    <row r="294" spans="2:58" ht="15" hidden="1" customHeight="1" x14ac:dyDescent="0.2">
      <c r="B294" s="252"/>
      <c r="C294" s="252"/>
      <c r="D294" s="256"/>
      <c r="E294" s="257"/>
      <c r="F294" s="257"/>
      <c r="G294" s="257"/>
      <c r="H294" s="257"/>
      <c r="I294" s="257"/>
      <c r="J294" s="258"/>
      <c r="K294" s="241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  <c r="AA294" s="242"/>
      <c r="AB294" s="242"/>
      <c r="AC294" s="242"/>
      <c r="AD294" s="242"/>
      <c r="AE294" s="242"/>
      <c r="AF294" s="242"/>
      <c r="AG294" s="242"/>
      <c r="AH294" s="242"/>
      <c r="AI294" s="242"/>
      <c r="AJ294" s="242"/>
      <c r="AK294" s="242"/>
      <c r="AL294" s="242"/>
      <c r="AM294" s="242"/>
      <c r="AN294" s="242"/>
      <c r="AO294" s="242"/>
      <c r="AP294" s="242"/>
      <c r="AQ294" s="242"/>
      <c r="AR294" s="242"/>
      <c r="AS294" s="243"/>
      <c r="AT294" s="252"/>
      <c r="AU294" s="252"/>
      <c r="AV294" s="252"/>
      <c r="AW294" s="252"/>
      <c r="AX294" s="252"/>
      <c r="AY294" s="252"/>
      <c r="BC294" s="7">
        <f t="shared" si="13"/>
        <v>0</v>
      </c>
      <c r="BD294" s="7">
        <f t="shared" si="14"/>
        <v>0</v>
      </c>
      <c r="BE294" s="7">
        <f t="shared" si="15"/>
        <v>0</v>
      </c>
      <c r="BF294" s="7">
        <f t="shared" si="16"/>
        <v>0</v>
      </c>
    </row>
    <row r="295" spans="2:58" ht="15" hidden="1" customHeight="1" x14ac:dyDescent="0.2">
      <c r="B295" s="252"/>
      <c r="C295" s="252"/>
      <c r="D295" s="256"/>
      <c r="E295" s="257"/>
      <c r="F295" s="257"/>
      <c r="G295" s="257"/>
      <c r="H295" s="257"/>
      <c r="I295" s="257"/>
      <c r="J295" s="258"/>
      <c r="K295" s="241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  <c r="AA295" s="242"/>
      <c r="AB295" s="242"/>
      <c r="AC295" s="242"/>
      <c r="AD295" s="242"/>
      <c r="AE295" s="242"/>
      <c r="AF295" s="242"/>
      <c r="AG295" s="242"/>
      <c r="AH295" s="242"/>
      <c r="AI295" s="242"/>
      <c r="AJ295" s="242"/>
      <c r="AK295" s="242"/>
      <c r="AL295" s="242"/>
      <c r="AM295" s="242"/>
      <c r="AN295" s="242"/>
      <c r="AO295" s="242"/>
      <c r="AP295" s="242"/>
      <c r="AQ295" s="242"/>
      <c r="AR295" s="242"/>
      <c r="AS295" s="243"/>
      <c r="AT295" s="252"/>
      <c r="AU295" s="252"/>
      <c r="AV295" s="252"/>
      <c r="AW295" s="252"/>
      <c r="AX295" s="252"/>
      <c r="AY295" s="252"/>
      <c r="BC295" s="7">
        <f t="shared" si="13"/>
        <v>0</v>
      </c>
      <c r="BD295" s="7">
        <f t="shared" si="14"/>
        <v>0</v>
      </c>
      <c r="BE295" s="7">
        <f t="shared" si="15"/>
        <v>0</v>
      </c>
      <c r="BF295" s="7">
        <f t="shared" si="16"/>
        <v>0</v>
      </c>
    </row>
    <row r="296" spans="2:58" ht="15" hidden="1" customHeight="1" x14ac:dyDescent="0.2">
      <c r="B296" s="252"/>
      <c r="C296" s="252"/>
      <c r="D296" s="256"/>
      <c r="E296" s="257"/>
      <c r="F296" s="257"/>
      <c r="G296" s="257"/>
      <c r="H296" s="257"/>
      <c r="I296" s="257"/>
      <c r="J296" s="258"/>
      <c r="K296" s="241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  <c r="AA296" s="242"/>
      <c r="AB296" s="242"/>
      <c r="AC296" s="242"/>
      <c r="AD296" s="242"/>
      <c r="AE296" s="242"/>
      <c r="AF296" s="242"/>
      <c r="AG296" s="242"/>
      <c r="AH296" s="242"/>
      <c r="AI296" s="242"/>
      <c r="AJ296" s="242"/>
      <c r="AK296" s="242"/>
      <c r="AL296" s="242"/>
      <c r="AM296" s="242"/>
      <c r="AN296" s="242"/>
      <c r="AO296" s="242"/>
      <c r="AP296" s="242"/>
      <c r="AQ296" s="242"/>
      <c r="AR296" s="242"/>
      <c r="AS296" s="243"/>
      <c r="AT296" s="252"/>
      <c r="AU296" s="252"/>
      <c r="AV296" s="252"/>
      <c r="AW296" s="252"/>
      <c r="AX296" s="252"/>
      <c r="AY296" s="252"/>
      <c r="BC296" s="7">
        <f t="shared" si="13"/>
        <v>0</v>
      </c>
      <c r="BD296" s="7">
        <f t="shared" si="14"/>
        <v>0</v>
      </c>
      <c r="BE296" s="7">
        <f t="shared" si="15"/>
        <v>0</v>
      </c>
      <c r="BF296" s="7">
        <f t="shared" si="16"/>
        <v>0</v>
      </c>
    </row>
    <row r="297" spans="2:58" ht="15" hidden="1" customHeight="1" x14ac:dyDescent="0.2">
      <c r="B297" s="252"/>
      <c r="C297" s="252"/>
      <c r="D297" s="256"/>
      <c r="E297" s="257"/>
      <c r="F297" s="257"/>
      <c r="G297" s="257"/>
      <c r="H297" s="257"/>
      <c r="I297" s="257"/>
      <c r="J297" s="258"/>
      <c r="K297" s="241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  <c r="AA297" s="242"/>
      <c r="AB297" s="242"/>
      <c r="AC297" s="242"/>
      <c r="AD297" s="242"/>
      <c r="AE297" s="242"/>
      <c r="AF297" s="242"/>
      <c r="AG297" s="242"/>
      <c r="AH297" s="242"/>
      <c r="AI297" s="242"/>
      <c r="AJ297" s="242"/>
      <c r="AK297" s="242"/>
      <c r="AL297" s="242"/>
      <c r="AM297" s="242"/>
      <c r="AN297" s="242"/>
      <c r="AO297" s="242"/>
      <c r="AP297" s="242"/>
      <c r="AQ297" s="242"/>
      <c r="AR297" s="242"/>
      <c r="AS297" s="243"/>
      <c r="AT297" s="252"/>
      <c r="AU297" s="252"/>
      <c r="AV297" s="252"/>
      <c r="AW297" s="252"/>
      <c r="AX297" s="252"/>
      <c r="AY297" s="252"/>
      <c r="BC297" s="7">
        <f t="shared" si="13"/>
        <v>0</v>
      </c>
      <c r="BD297" s="7">
        <f t="shared" si="14"/>
        <v>0</v>
      </c>
      <c r="BE297" s="7">
        <f t="shared" si="15"/>
        <v>0</v>
      </c>
      <c r="BF297" s="7">
        <f t="shared" si="16"/>
        <v>0</v>
      </c>
    </row>
    <row r="298" spans="2:58" ht="15" hidden="1" customHeight="1" x14ac:dyDescent="0.2">
      <c r="B298" s="252"/>
      <c r="C298" s="252"/>
      <c r="D298" s="256"/>
      <c r="E298" s="257"/>
      <c r="F298" s="257"/>
      <c r="G298" s="257"/>
      <c r="H298" s="257"/>
      <c r="I298" s="257"/>
      <c r="J298" s="258"/>
      <c r="K298" s="241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  <c r="AA298" s="242"/>
      <c r="AB298" s="242"/>
      <c r="AC298" s="242"/>
      <c r="AD298" s="242"/>
      <c r="AE298" s="242"/>
      <c r="AF298" s="242"/>
      <c r="AG298" s="242"/>
      <c r="AH298" s="242"/>
      <c r="AI298" s="242"/>
      <c r="AJ298" s="242"/>
      <c r="AK298" s="242"/>
      <c r="AL298" s="242"/>
      <c r="AM298" s="242"/>
      <c r="AN298" s="242"/>
      <c r="AO298" s="242"/>
      <c r="AP298" s="242"/>
      <c r="AQ298" s="242"/>
      <c r="AR298" s="242"/>
      <c r="AS298" s="243"/>
      <c r="AT298" s="252"/>
      <c r="AU298" s="252"/>
      <c r="AV298" s="252"/>
      <c r="AW298" s="252"/>
      <c r="AX298" s="252"/>
      <c r="AY298" s="252"/>
      <c r="BC298" s="7">
        <f t="shared" si="13"/>
        <v>0</v>
      </c>
      <c r="BD298" s="7">
        <f t="shared" si="14"/>
        <v>0</v>
      </c>
      <c r="BE298" s="7">
        <f t="shared" si="15"/>
        <v>0</v>
      </c>
      <c r="BF298" s="7">
        <f t="shared" si="16"/>
        <v>0</v>
      </c>
    </row>
    <row r="299" spans="2:58" ht="15" hidden="1" customHeight="1" x14ac:dyDescent="0.2">
      <c r="B299" s="252"/>
      <c r="C299" s="252"/>
      <c r="D299" s="256"/>
      <c r="E299" s="257"/>
      <c r="F299" s="257"/>
      <c r="G299" s="257"/>
      <c r="H299" s="257"/>
      <c r="I299" s="257"/>
      <c r="J299" s="258"/>
      <c r="K299" s="241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  <c r="AA299" s="242"/>
      <c r="AB299" s="242"/>
      <c r="AC299" s="242"/>
      <c r="AD299" s="242"/>
      <c r="AE299" s="242"/>
      <c r="AF299" s="242"/>
      <c r="AG299" s="242"/>
      <c r="AH299" s="242"/>
      <c r="AI299" s="242"/>
      <c r="AJ299" s="242"/>
      <c r="AK299" s="242"/>
      <c r="AL299" s="242"/>
      <c r="AM299" s="242"/>
      <c r="AN299" s="242"/>
      <c r="AO299" s="242"/>
      <c r="AP299" s="242"/>
      <c r="AQ299" s="242"/>
      <c r="AR299" s="242"/>
      <c r="AS299" s="243"/>
      <c r="AT299" s="252"/>
      <c r="AU299" s="252"/>
      <c r="AV299" s="252"/>
      <c r="AW299" s="252"/>
      <c r="AX299" s="252"/>
      <c r="AY299" s="252"/>
      <c r="BC299" s="7">
        <f t="shared" si="13"/>
        <v>0</v>
      </c>
      <c r="BD299" s="7">
        <f t="shared" si="14"/>
        <v>0</v>
      </c>
      <c r="BE299" s="7">
        <f t="shared" si="15"/>
        <v>0</v>
      </c>
      <c r="BF299" s="7">
        <f t="shared" si="16"/>
        <v>0</v>
      </c>
    </row>
    <row r="300" spans="2:58" ht="15" hidden="1" customHeight="1" x14ac:dyDescent="0.2">
      <c r="B300" s="252"/>
      <c r="C300" s="252"/>
      <c r="D300" s="256"/>
      <c r="E300" s="257"/>
      <c r="F300" s="257"/>
      <c r="G300" s="257"/>
      <c r="H300" s="257"/>
      <c r="I300" s="257"/>
      <c r="J300" s="258"/>
      <c r="K300" s="241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  <c r="AA300" s="242"/>
      <c r="AB300" s="242"/>
      <c r="AC300" s="242"/>
      <c r="AD300" s="242"/>
      <c r="AE300" s="242"/>
      <c r="AF300" s="242"/>
      <c r="AG300" s="242"/>
      <c r="AH300" s="242"/>
      <c r="AI300" s="242"/>
      <c r="AJ300" s="242"/>
      <c r="AK300" s="242"/>
      <c r="AL300" s="242"/>
      <c r="AM300" s="242"/>
      <c r="AN300" s="242"/>
      <c r="AO300" s="242"/>
      <c r="AP300" s="242"/>
      <c r="AQ300" s="242"/>
      <c r="AR300" s="242"/>
      <c r="AS300" s="243"/>
      <c r="AT300" s="252"/>
      <c r="AU300" s="252"/>
      <c r="AV300" s="252"/>
      <c r="AW300" s="252"/>
      <c r="AX300" s="252"/>
      <c r="AY300" s="252"/>
      <c r="BC300" s="7">
        <f t="shared" si="13"/>
        <v>0</v>
      </c>
      <c r="BD300" s="7">
        <f t="shared" si="14"/>
        <v>0</v>
      </c>
      <c r="BE300" s="7">
        <f t="shared" si="15"/>
        <v>0</v>
      </c>
      <c r="BF300" s="7">
        <f t="shared" si="16"/>
        <v>0</v>
      </c>
    </row>
    <row r="301" spans="2:58" ht="15" hidden="1" customHeight="1" x14ac:dyDescent="0.2">
      <c r="B301" s="252"/>
      <c r="C301" s="252"/>
      <c r="D301" s="256"/>
      <c r="E301" s="257"/>
      <c r="F301" s="257"/>
      <c r="G301" s="257"/>
      <c r="H301" s="257"/>
      <c r="I301" s="257"/>
      <c r="J301" s="258"/>
      <c r="K301" s="241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  <c r="AA301" s="242"/>
      <c r="AB301" s="242"/>
      <c r="AC301" s="242"/>
      <c r="AD301" s="242"/>
      <c r="AE301" s="242"/>
      <c r="AF301" s="242"/>
      <c r="AG301" s="242"/>
      <c r="AH301" s="242"/>
      <c r="AI301" s="242"/>
      <c r="AJ301" s="242"/>
      <c r="AK301" s="242"/>
      <c r="AL301" s="242"/>
      <c r="AM301" s="242"/>
      <c r="AN301" s="242"/>
      <c r="AO301" s="242"/>
      <c r="AP301" s="242"/>
      <c r="AQ301" s="242"/>
      <c r="AR301" s="242"/>
      <c r="AS301" s="243"/>
      <c r="AT301" s="252"/>
      <c r="AU301" s="252"/>
      <c r="AV301" s="252"/>
      <c r="AW301" s="252"/>
      <c r="AX301" s="252"/>
      <c r="AY301" s="252"/>
      <c r="BC301" s="7">
        <f t="shared" si="13"/>
        <v>0</v>
      </c>
      <c r="BD301" s="7">
        <f t="shared" si="14"/>
        <v>0</v>
      </c>
      <c r="BE301" s="7">
        <f t="shared" si="15"/>
        <v>0</v>
      </c>
      <c r="BF301" s="7">
        <f t="shared" si="16"/>
        <v>0</v>
      </c>
    </row>
    <row r="302" spans="2:58" ht="15" hidden="1" customHeight="1" x14ac:dyDescent="0.2">
      <c r="B302" s="252"/>
      <c r="C302" s="252"/>
      <c r="D302" s="256"/>
      <c r="E302" s="257"/>
      <c r="F302" s="257"/>
      <c r="G302" s="257"/>
      <c r="H302" s="257"/>
      <c r="I302" s="257"/>
      <c r="J302" s="258"/>
      <c r="K302" s="241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  <c r="AA302" s="242"/>
      <c r="AB302" s="242"/>
      <c r="AC302" s="242"/>
      <c r="AD302" s="242"/>
      <c r="AE302" s="242"/>
      <c r="AF302" s="242"/>
      <c r="AG302" s="242"/>
      <c r="AH302" s="242"/>
      <c r="AI302" s="242"/>
      <c r="AJ302" s="242"/>
      <c r="AK302" s="242"/>
      <c r="AL302" s="242"/>
      <c r="AM302" s="242"/>
      <c r="AN302" s="242"/>
      <c r="AO302" s="242"/>
      <c r="AP302" s="242"/>
      <c r="AQ302" s="242"/>
      <c r="AR302" s="242"/>
      <c r="AS302" s="243"/>
      <c r="AT302" s="252"/>
      <c r="AU302" s="252"/>
      <c r="AV302" s="252"/>
      <c r="AW302" s="252"/>
      <c r="AX302" s="252"/>
      <c r="AY302" s="252"/>
      <c r="BC302" s="7">
        <f t="shared" si="13"/>
        <v>0</v>
      </c>
      <c r="BD302" s="7">
        <f t="shared" si="14"/>
        <v>0</v>
      </c>
      <c r="BE302" s="7">
        <f t="shared" si="15"/>
        <v>0</v>
      </c>
      <c r="BF302" s="7">
        <f t="shared" si="16"/>
        <v>0</v>
      </c>
    </row>
    <row r="303" spans="2:58" ht="15" hidden="1" customHeight="1" x14ac:dyDescent="0.2">
      <c r="B303" s="252"/>
      <c r="C303" s="252"/>
      <c r="D303" s="256"/>
      <c r="E303" s="257"/>
      <c r="F303" s="257"/>
      <c r="G303" s="257"/>
      <c r="H303" s="257"/>
      <c r="I303" s="257"/>
      <c r="J303" s="258"/>
      <c r="K303" s="241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  <c r="AA303" s="242"/>
      <c r="AB303" s="242"/>
      <c r="AC303" s="242"/>
      <c r="AD303" s="242"/>
      <c r="AE303" s="242"/>
      <c r="AF303" s="242"/>
      <c r="AG303" s="242"/>
      <c r="AH303" s="242"/>
      <c r="AI303" s="242"/>
      <c r="AJ303" s="242"/>
      <c r="AK303" s="242"/>
      <c r="AL303" s="242"/>
      <c r="AM303" s="242"/>
      <c r="AN303" s="242"/>
      <c r="AO303" s="242"/>
      <c r="AP303" s="242"/>
      <c r="AQ303" s="242"/>
      <c r="AR303" s="242"/>
      <c r="AS303" s="243"/>
      <c r="AT303" s="252"/>
      <c r="AU303" s="252"/>
      <c r="AV303" s="252"/>
      <c r="AW303" s="252"/>
      <c r="AX303" s="252"/>
      <c r="AY303" s="252"/>
      <c r="BC303" s="7">
        <f t="shared" si="13"/>
        <v>0</v>
      </c>
      <c r="BD303" s="7">
        <f t="shared" si="14"/>
        <v>0</v>
      </c>
      <c r="BE303" s="7">
        <f t="shared" si="15"/>
        <v>0</v>
      </c>
      <c r="BF303" s="7">
        <f t="shared" si="16"/>
        <v>0</v>
      </c>
    </row>
    <row r="304" spans="2:58" ht="15" hidden="1" customHeight="1" x14ac:dyDescent="0.2">
      <c r="B304" s="252"/>
      <c r="C304" s="252"/>
      <c r="D304" s="256"/>
      <c r="E304" s="257"/>
      <c r="F304" s="257"/>
      <c r="G304" s="257"/>
      <c r="H304" s="257"/>
      <c r="I304" s="257"/>
      <c r="J304" s="258"/>
      <c r="K304" s="241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  <c r="AA304" s="242"/>
      <c r="AB304" s="242"/>
      <c r="AC304" s="242"/>
      <c r="AD304" s="242"/>
      <c r="AE304" s="242"/>
      <c r="AF304" s="242"/>
      <c r="AG304" s="242"/>
      <c r="AH304" s="242"/>
      <c r="AI304" s="242"/>
      <c r="AJ304" s="242"/>
      <c r="AK304" s="242"/>
      <c r="AL304" s="242"/>
      <c r="AM304" s="242"/>
      <c r="AN304" s="242"/>
      <c r="AO304" s="242"/>
      <c r="AP304" s="242"/>
      <c r="AQ304" s="242"/>
      <c r="AR304" s="242"/>
      <c r="AS304" s="243"/>
      <c r="AT304" s="252"/>
      <c r="AU304" s="252"/>
      <c r="AV304" s="252"/>
      <c r="AW304" s="252"/>
      <c r="AX304" s="252"/>
      <c r="AY304" s="252"/>
      <c r="BC304" s="7">
        <f t="shared" si="13"/>
        <v>0</v>
      </c>
      <c r="BD304" s="7">
        <f t="shared" si="14"/>
        <v>0</v>
      </c>
      <c r="BE304" s="7">
        <f t="shared" si="15"/>
        <v>0</v>
      </c>
      <c r="BF304" s="7">
        <f t="shared" si="16"/>
        <v>0</v>
      </c>
    </row>
    <row r="305" spans="2:58" ht="15" hidden="1" customHeight="1" x14ac:dyDescent="0.2">
      <c r="B305" s="252"/>
      <c r="C305" s="252"/>
      <c r="D305" s="256"/>
      <c r="E305" s="257"/>
      <c r="F305" s="257"/>
      <c r="G305" s="257"/>
      <c r="H305" s="257"/>
      <c r="I305" s="257"/>
      <c r="J305" s="258"/>
      <c r="K305" s="241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  <c r="AA305" s="242"/>
      <c r="AB305" s="242"/>
      <c r="AC305" s="242"/>
      <c r="AD305" s="242"/>
      <c r="AE305" s="242"/>
      <c r="AF305" s="242"/>
      <c r="AG305" s="242"/>
      <c r="AH305" s="242"/>
      <c r="AI305" s="242"/>
      <c r="AJ305" s="242"/>
      <c r="AK305" s="242"/>
      <c r="AL305" s="242"/>
      <c r="AM305" s="242"/>
      <c r="AN305" s="242"/>
      <c r="AO305" s="242"/>
      <c r="AP305" s="242"/>
      <c r="AQ305" s="242"/>
      <c r="AR305" s="242"/>
      <c r="AS305" s="243"/>
      <c r="AT305" s="252"/>
      <c r="AU305" s="252"/>
      <c r="AV305" s="252"/>
      <c r="AW305" s="252"/>
      <c r="AX305" s="252"/>
      <c r="AY305" s="252"/>
      <c r="BC305" s="7">
        <f t="shared" si="13"/>
        <v>0</v>
      </c>
      <c r="BD305" s="7">
        <f t="shared" si="14"/>
        <v>0</v>
      </c>
      <c r="BE305" s="7">
        <f t="shared" si="15"/>
        <v>0</v>
      </c>
      <c r="BF305" s="7">
        <f t="shared" si="16"/>
        <v>0</v>
      </c>
    </row>
    <row r="306" spans="2:58" ht="15" hidden="1" customHeight="1" x14ac:dyDescent="0.2">
      <c r="B306" s="252"/>
      <c r="C306" s="252"/>
      <c r="D306" s="256"/>
      <c r="E306" s="257"/>
      <c r="F306" s="257"/>
      <c r="G306" s="257"/>
      <c r="H306" s="257"/>
      <c r="I306" s="257"/>
      <c r="J306" s="258"/>
      <c r="K306" s="241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  <c r="AA306" s="242"/>
      <c r="AB306" s="242"/>
      <c r="AC306" s="242"/>
      <c r="AD306" s="242"/>
      <c r="AE306" s="242"/>
      <c r="AF306" s="242"/>
      <c r="AG306" s="242"/>
      <c r="AH306" s="242"/>
      <c r="AI306" s="242"/>
      <c r="AJ306" s="242"/>
      <c r="AK306" s="242"/>
      <c r="AL306" s="242"/>
      <c r="AM306" s="242"/>
      <c r="AN306" s="242"/>
      <c r="AO306" s="242"/>
      <c r="AP306" s="242"/>
      <c r="AQ306" s="242"/>
      <c r="AR306" s="242"/>
      <c r="AS306" s="243"/>
      <c r="AT306" s="252"/>
      <c r="AU306" s="252"/>
      <c r="AV306" s="252"/>
      <c r="AW306" s="252"/>
      <c r="AX306" s="252"/>
      <c r="AY306" s="252"/>
      <c r="BC306" s="7">
        <f t="shared" ref="BC306:BC346" si="17">B306</f>
        <v>0</v>
      </c>
      <c r="BD306" s="7">
        <f t="shared" ref="BD306:BD346" si="18">D306</f>
        <v>0</v>
      </c>
      <c r="BE306" s="7">
        <f t="shared" ref="BE306:BE346" si="19">K306</f>
        <v>0</v>
      </c>
      <c r="BF306" s="7">
        <f t="shared" ref="BF306:BF346" si="20">AT306</f>
        <v>0</v>
      </c>
    </row>
    <row r="307" spans="2:58" ht="15" hidden="1" customHeight="1" x14ac:dyDescent="0.2">
      <c r="B307" s="252"/>
      <c r="C307" s="252"/>
      <c r="D307" s="256"/>
      <c r="E307" s="257"/>
      <c r="F307" s="257"/>
      <c r="G307" s="257"/>
      <c r="H307" s="257"/>
      <c r="I307" s="257"/>
      <c r="J307" s="258"/>
      <c r="K307" s="241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  <c r="AA307" s="242"/>
      <c r="AB307" s="242"/>
      <c r="AC307" s="242"/>
      <c r="AD307" s="242"/>
      <c r="AE307" s="242"/>
      <c r="AF307" s="242"/>
      <c r="AG307" s="242"/>
      <c r="AH307" s="242"/>
      <c r="AI307" s="242"/>
      <c r="AJ307" s="242"/>
      <c r="AK307" s="242"/>
      <c r="AL307" s="242"/>
      <c r="AM307" s="242"/>
      <c r="AN307" s="242"/>
      <c r="AO307" s="242"/>
      <c r="AP307" s="242"/>
      <c r="AQ307" s="242"/>
      <c r="AR307" s="242"/>
      <c r="AS307" s="243"/>
      <c r="AT307" s="252"/>
      <c r="AU307" s="252"/>
      <c r="AV307" s="252"/>
      <c r="AW307" s="252"/>
      <c r="AX307" s="252"/>
      <c r="AY307" s="252"/>
      <c r="BC307" s="7">
        <f t="shared" si="17"/>
        <v>0</v>
      </c>
      <c r="BD307" s="7">
        <f t="shared" si="18"/>
        <v>0</v>
      </c>
      <c r="BE307" s="7">
        <f t="shared" si="19"/>
        <v>0</v>
      </c>
      <c r="BF307" s="7">
        <f t="shared" si="20"/>
        <v>0</v>
      </c>
    </row>
    <row r="308" spans="2:58" ht="15" hidden="1" customHeight="1" x14ac:dyDescent="0.2">
      <c r="B308" s="252"/>
      <c r="C308" s="252"/>
      <c r="D308" s="256"/>
      <c r="E308" s="257"/>
      <c r="F308" s="257"/>
      <c r="G308" s="257"/>
      <c r="H308" s="257"/>
      <c r="I308" s="257"/>
      <c r="J308" s="258"/>
      <c r="K308" s="241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  <c r="AA308" s="242"/>
      <c r="AB308" s="242"/>
      <c r="AC308" s="242"/>
      <c r="AD308" s="242"/>
      <c r="AE308" s="242"/>
      <c r="AF308" s="242"/>
      <c r="AG308" s="242"/>
      <c r="AH308" s="242"/>
      <c r="AI308" s="242"/>
      <c r="AJ308" s="242"/>
      <c r="AK308" s="242"/>
      <c r="AL308" s="242"/>
      <c r="AM308" s="242"/>
      <c r="AN308" s="242"/>
      <c r="AO308" s="242"/>
      <c r="AP308" s="242"/>
      <c r="AQ308" s="242"/>
      <c r="AR308" s="242"/>
      <c r="AS308" s="243"/>
      <c r="AT308" s="252"/>
      <c r="AU308" s="252"/>
      <c r="AV308" s="252"/>
      <c r="AW308" s="252"/>
      <c r="AX308" s="252"/>
      <c r="AY308" s="252"/>
      <c r="BC308" s="7">
        <f t="shared" si="17"/>
        <v>0</v>
      </c>
      <c r="BD308" s="7">
        <f t="shared" si="18"/>
        <v>0</v>
      </c>
      <c r="BE308" s="7">
        <f t="shared" si="19"/>
        <v>0</v>
      </c>
      <c r="BF308" s="7">
        <f t="shared" si="20"/>
        <v>0</v>
      </c>
    </row>
    <row r="309" spans="2:58" ht="15" hidden="1" customHeight="1" x14ac:dyDescent="0.2">
      <c r="B309" s="252"/>
      <c r="C309" s="252"/>
      <c r="D309" s="256"/>
      <c r="E309" s="257"/>
      <c r="F309" s="257"/>
      <c r="G309" s="257"/>
      <c r="H309" s="257"/>
      <c r="I309" s="257"/>
      <c r="J309" s="258"/>
      <c r="K309" s="241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  <c r="AA309" s="242"/>
      <c r="AB309" s="242"/>
      <c r="AC309" s="242"/>
      <c r="AD309" s="242"/>
      <c r="AE309" s="242"/>
      <c r="AF309" s="242"/>
      <c r="AG309" s="242"/>
      <c r="AH309" s="242"/>
      <c r="AI309" s="242"/>
      <c r="AJ309" s="242"/>
      <c r="AK309" s="242"/>
      <c r="AL309" s="242"/>
      <c r="AM309" s="242"/>
      <c r="AN309" s="242"/>
      <c r="AO309" s="242"/>
      <c r="AP309" s="242"/>
      <c r="AQ309" s="242"/>
      <c r="AR309" s="242"/>
      <c r="AS309" s="243"/>
      <c r="AT309" s="252"/>
      <c r="AU309" s="252"/>
      <c r="AV309" s="252"/>
      <c r="AW309" s="252"/>
      <c r="AX309" s="252"/>
      <c r="AY309" s="252"/>
      <c r="BC309" s="7">
        <f t="shared" si="17"/>
        <v>0</v>
      </c>
      <c r="BD309" s="7">
        <f t="shared" si="18"/>
        <v>0</v>
      </c>
      <c r="BE309" s="7">
        <f t="shared" si="19"/>
        <v>0</v>
      </c>
      <c r="BF309" s="7">
        <f t="shared" si="20"/>
        <v>0</v>
      </c>
    </row>
    <row r="310" spans="2:58" ht="15" hidden="1" customHeight="1" x14ac:dyDescent="0.2">
      <c r="B310" s="252"/>
      <c r="C310" s="252"/>
      <c r="D310" s="256"/>
      <c r="E310" s="257"/>
      <c r="F310" s="257"/>
      <c r="G310" s="257"/>
      <c r="H310" s="257"/>
      <c r="I310" s="257"/>
      <c r="J310" s="258"/>
      <c r="K310" s="241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  <c r="AA310" s="242"/>
      <c r="AB310" s="242"/>
      <c r="AC310" s="242"/>
      <c r="AD310" s="242"/>
      <c r="AE310" s="242"/>
      <c r="AF310" s="242"/>
      <c r="AG310" s="242"/>
      <c r="AH310" s="242"/>
      <c r="AI310" s="242"/>
      <c r="AJ310" s="242"/>
      <c r="AK310" s="242"/>
      <c r="AL310" s="242"/>
      <c r="AM310" s="242"/>
      <c r="AN310" s="242"/>
      <c r="AO310" s="242"/>
      <c r="AP310" s="242"/>
      <c r="AQ310" s="242"/>
      <c r="AR310" s="242"/>
      <c r="AS310" s="243"/>
      <c r="AT310" s="252"/>
      <c r="AU310" s="252"/>
      <c r="AV310" s="252"/>
      <c r="AW310" s="252"/>
      <c r="AX310" s="252"/>
      <c r="AY310" s="252"/>
      <c r="BC310" s="7">
        <f t="shared" si="17"/>
        <v>0</v>
      </c>
      <c r="BD310" s="7">
        <f t="shared" si="18"/>
        <v>0</v>
      </c>
      <c r="BE310" s="7">
        <f t="shared" si="19"/>
        <v>0</v>
      </c>
      <c r="BF310" s="7">
        <f t="shared" si="20"/>
        <v>0</v>
      </c>
    </row>
    <row r="311" spans="2:58" ht="15" hidden="1" customHeight="1" x14ac:dyDescent="0.2">
      <c r="B311" s="252"/>
      <c r="C311" s="252"/>
      <c r="D311" s="256"/>
      <c r="E311" s="257"/>
      <c r="F311" s="257"/>
      <c r="G311" s="257"/>
      <c r="H311" s="257"/>
      <c r="I311" s="257"/>
      <c r="J311" s="258"/>
      <c r="K311" s="241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  <c r="AA311" s="242"/>
      <c r="AB311" s="242"/>
      <c r="AC311" s="242"/>
      <c r="AD311" s="242"/>
      <c r="AE311" s="242"/>
      <c r="AF311" s="242"/>
      <c r="AG311" s="242"/>
      <c r="AH311" s="242"/>
      <c r="AI311" s="242"/>
      <c r="AJ311" s="242"/>
      <c r="AK311" s="242"/>
      <c r="AL311" s="242"/>
      <c r="AM311" s="242"/>
      <c r="AN311" s="242"/>
      <c r="AO311" s="242"/>
      <c r="AP311" s="242"/>
      <c r="AQ311" s="242"/>
      <c r="AR311" s="242"/>
      <c r="AS311" s="243"/>
      <c r="AT311" s="252"/>
      <c r="AU311" s="252"/>
      <c r="AV311" s="252"/>
      <c r="AW311" s="252"/>
      <c r="AX311" s="252"/>
      <c r="AY311" s="252"/>
      <c r="BC311" s="7">
        <f t="shared" si="17"/>
        <v>0</v>
      </c>
      <c r="BD311" s="7">
        <f t="shared" si="18"/>
        <v>0</v>
      </c>
      <c r="BE311" s="7">
        <f t="shared" si="19"/>
        <v>0</v>
      </c>
      <c r="BF311" s="7">
        <f t="shared" si="20"/>
        <v>0</v>
      </c>
    </row>
    <row r="312" spans="2:58" ht="15" hidden="1" customHeight="1" x14ac:dyDescent="0.2">
      <c r="B312" s="252"/>
      <c r="C312" s="252"/>
      <c r="D312" s="256"/>
      <c r="E312" s="257"/>
      <c r="F312" s="257"/>
      <c r="G312" s="257"/>
      <c r="H312" s="257"/>
      <c r="I312" s="257"/>
      <c r="J312" s="258"/>
      <c r="K312" s="241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  <c r="AC312" s="242"/>
      <c r="AD312" s="242"/>
      <c r="AE312" s="242"/>
      <c r="AF312" s="242"/>
      <c r="AG312" s="242"/>
      <c r="AH312" s="242"/>
      <c r="AI312" s="242"/>
      <c r="AJ312" s="242"/>
      <c r="AK312" s="242"/>
      <c r="AL312" s="242"/>
      <c r="AM312" s="242"/>
      <c r="AN312" s="242"/>
      <c r="AO312" s="242"/>
      <c r="AP312" s="242"/>
      <c r="AQ312" s="242"/>
      <c r="AR312" s="242"/>
      <c r="AS312" s="243"/>
      <c r="AT312" s="252"/>
      <c r="AU312" s="252"/>
      <c r="AV312" s="252"/>
      <c r="AW312" s="252"/>
      <c r="AX312" s="252"/>
      <c r="AY312" s="252"/>
      <c r="BC312" s="7">
        <f t="shared" si="17"/>
        <v>0</v>
      </c>
      <c r="BD312" s="7">
        <f t="shared" si="18"/>
        <v>0</v>
      </c>
      <c r="BE312" s="7">
        <f t="shared" si="19"/>
        <v>0</v>
      </c>
      <c r="BF312" s="7">
        <f t="shared" si="20"/>
        <v>0</v>
      </c>
    </row>
    <row r="313" spans="2:58" ht="15" hidden="1" customHeight="1" x14ac:dyDescent="0.2">
      <c r="B313" s="252"/>
      <c r="C313" s="252"/>
      <c r="D313" s="256"/>
      <c r="E313" s="257"/>
      <c r="F313" s="257"/>
      <c r="G313" s="257"/>
      <c r="H313" s="257"/>
      <c r="I313" s="257"/>
      <c r="J313" s="258"/>
      <c r="K313" s="241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  <c r="AA313" s="242"/>
      <c r="AB313" s="242"/>
      <c r="AC313" s="242"/>
      <c r="AD313" s="242"/>
      <c r="AE313" s="242"/>
      <c r="AF313" s="242"/>
      <c r="AG313" s="242"/>
      <c r="AH313" s="242"/>
      <c r="AI313" s="242"/>
      <c r="AJ313" s="242"/>
      <c r="AK313" s="242"/>
      <c r="AL313" s="242"/>
      <c r="AM313" s="242"/>
      <c r="AN313" s="242"/>
      <c r="AO313" s="242"/>
      <c r="AP313" s="242"/>
      <c r="AQ313" s="242"/>
      <c r="AR313" s="242"/>
      <c r="AS313" s="243"/>
      <c r="AT313" s="252"/>
      <c r="AU313" s="252"/>
      <c r="AV313" s="252"/>
      <c r="AW313" s="252"/>
      <c r="AX313" s="252"/>
      <c r="AY313" s="252"/>
      <c r="BC313" s="7">
        <f t="shared" si="17"/>
        <v>0</v>
      </c>
      <c r="BD313" s="7">
        <f t="shared" si="18"/>
        <v>0</v>
      </c>
      <c r="BE313" s="7">
        <f t="shared" si="19"/>
        <v>0</v>
      </c>
      <c r="BF313" s="7">
        <f t="shared" si="20"/>
        <v>0</v>
      </c>
    </row>
    <row r="314" spans="2:58" ht="15" hidden="1" customHeight="1" x14ac:dyDescent="0.2">
      <c r="B314" s="252"/>
      <c r="C314" s="252"/>
      <c r="D314" s="256"/>
      <c r="E314" s="257"/>
      <c r="F314" s="257"/>
      <c r="G314" s="257"/>
      <c r="H314" s="257"/>
      <c r="I314" s="257"/>
      <c r="J314" s="258"/>
      <c r="K314" s="241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  <c r="AA314" s="242"/>
      <c r="AB314" s="242"/>
      <c r="AC314" s="242"/>
      <c r="AD314" s="242"/>
      <c r="AE314" s="242"/>
      <c r="AF314" s="242"/>
      <c r="AG314" s="242"/>
      <c r="AH314" s="242"/>
      <c r="AI314" s="242"/>
      <c r="AJ314" s="242"/>
      <c r="AK314" s="242"/>
      <c r="AL314" s="242"/>
      <c r="AM314" s="242"/>
      <c r="AN314" s="242"/>
      <c r="AO314" s="242"/>
      <c r="AP314" s="242"/>
      <c r="AQ314" s="242"/>
      <c r="AR314" s="242"/>
      <c r="AS314" s="243"/>
      <c r="AT314" s="252"/>
      <c r="AU314" s="252"/>
      <c r="AV314" s="252"/>
      <c r="AW314" s="252"/>
      <c r="AX314" s="252"/>
      <c r="AY314" s="252"/>
      <c r="BC314" s="7">
        <f t="shared" si="17"/>
        <v>0</v>
      </c>
      <c r="BD314" s="7">
        <f t="shared" si="18"/>
        <v>0</v>
      </c>
      <c r="BE314" s="7">
        <f t="shared" si="19"/>
        <v>0</v>
      </c>
      <c r="BF314" s="7">
        <f t="shared" si="20"/>
        <v>0</v>
      </c>
    </row>
    <row r="315" spans="2:58" ht="15" hidden="1" customHeight="1" x14ac:dyDescent="0.2">
      <c r="B315" s="252"/>
      <c r="C315" s="252"/>
      <c r="D315" s="256"/>
      <c r="E315" s="257"/>
      <c r="F315" s="257"/>
      <c r="G315" s="257"/>
      <c r="H315" s="257"/>
      <c r="I315" s="257"/>
      <c r="J315" s="258"/>
      <c r="K315" s="241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  <c r="AA315" s="242"/>
      <c r="AB315" s="242"/>
      <c r="AC315" s="242"/>
      <c r="AD315" s="242"/>
      <c r="AE315" s="242"/>
      <c r="AF315" s="242"/>
      <c r="AG315" s="242"/>
      <c r="AH315" s="242"/>
      <c r="AI315" s="242"/>
      <c r="AJ315" s="242"/>
      <c r="AK315" s="242"/>
      <c r="AL315" s="242"/>
      <c r="AM315" s="242"/>
      <c r="AN315" s="242"/>
      <c r="AO315" s="242"/>
      <c r="AP315" s="242"/>
      <c r="AQ315" s="242"/>
      <c r="AR315" s="242"/>
      <c r="AS315" s="243"/>
      <c r="AT315" s="252"/>
      <c r="AU315" s="252"/>
      <c r="AV315" s="252"/>
      <c r="AW315" s="252"/>
      <c r="AX315" s="252"/>
      <c r="AY315" s="252"/>
      <c r="BC315" s="7">
        <f t="shared" si="17"/>
        <v>0</v>
      </c>
      <c r="BD315" s="7">
        <f t="shared" si="18"/>
        <v>0</v>
      </c>
      <c r="BE315" s="7">
        <f t="shared" si="19"/>
        <v>0</v>
      </c>
      <c r="BF315" s="7">
        <f t="shared" si="20"/>
        <v>0</v>
      </c>
    </row>
    <row r="316" spans="2:58" ht="15" hidden="1" customHeight="1" x14ac:dyDescent="0.2">
      <c r="B316" s="252"/>
      <c r="C316" s="252"/>
      <c r="D316" s="256"/>
      <c r="E316" s="257"/>
      <c r="F316" s="257"/>
      <c r="G316" s="257"/>
      <c r="H316" s="257"/>
      <c r="I316" s="257"/>
      <c r="J316" s="258"/>
      <c r="K316" s="241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  <c r="AA316" s="242"/>
      <c r="AB316" s="242"/>
      <c r="AC316" s="242"/>
      <c r="AD316" s="242"/>
      <c r="AE316" s="242"/>
      <c r="AF316" s="242"/>
      <c r="AG316" s="242"/>
      <c r="AH316" s="242"/>
      <c r="AI316" s="242"/>
      <c r="AJ316" s="242"/>
      <c r="AK316" s="242"/>
      <c r="AL316" s="242"/>
      <c r="AM316" s="242"/>
      <c r="AN316" s="242"/>
      <c r="AO316" s="242"/>
      <c r="AP316" s="242"/>
      <c r="AQ316" s="242"/>
      <c r="AR316" s="242"/>
      <c r="AS316" s="243"/>
      <c r="AT316" s="252"/>
      <c r="AU316" s="252"/>
      <c r="AV316" s="252"/>
      <c r="AW316" s="252"/>
      <c r="AX316" s="252"/>
      <c r="AY316" s="252"/>
      <c r="BC316" s="7">
        <f t="shared" si="17"/>
        <v>0</v>
      </c>
      <c r="BD316" s="7">
        <f t="shared" si="18"/>
        <v>0</v>
      </c>
      <c r="BE316" s="7">
        <f t="shared" si="19"/>
        <v>0</v>
      </c>
      <c r="BF316" s="7">
        <f t="shared" si="20"/>
        <v>0</v>
      </c>
    </row>
    <row r="317" spans="2:58" ht="15" hidden="1" customHeight="1" x14ac:dyDescent="0.2">
      <c r="B317" s="252"/>
      <c r="C317" s="252"/>
      <c r="D317" s="256"/>
      <c r="E317" s="257"/>
      <c r="F317" s="257"/>
      <c r="G317" s="257"/>
      <c r="H317" s="257"/>
      <c r="I317" s="257"/>
      <c r="J317" s="258"/>
      <c r="K317" s="241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  <c r="AA317" s="242"/>
      <c r="AB317" s="242"/>
      <c r="AC317" s="242"/>
      <c r="AD317" s="242"/>
      <c r="AE317" s="242"/>
      <c r="AF317" s="242"/>
      <c r="AG317" s="242"/>
      <c r="AH317" s="242"/>
      <c r="AI317" s="242"/>
      <c r="AJ317" s="242"/>
      <c r="AK317" s="242"/>
      <c r="AL317" s="242"/>
      <c r="AM317" s="242"/>
      <c r="AN317" s="242"/>
      <c r="AO317" s="242"/>
      <c r="AP317" s="242"/>
      <c r="AQ317" s="242"/>
      <c r="AR317" s="242"/>
      <c r="AS317" s="243"/>
      <c r="AT317" s="252"/>
      <c r="AU317" s="252"/>
      <c r="AV317" s="252"/>
      <c r="AW317" s="252"/>
      <c r="AX317" s="252"/>
      <c r="AY317" s="252"/>
      <c r="BC317" s="7">
        <f t="shared" si="17"/>
        <v>0</v>
      </c>
      <c r="BD317" s="7">
        <f t="shared" si="18"/>
        <v>0</v>
      </c>
      <c r="BE317" s="7">
        <f t="shared" si="19"/>
        <v>0</v>
      </c>
      <c r="BF317" s="7">
        <f t="shared" si="20"/>
        <v>0</v>
      </c>
    </row>
    <row r="318" spans="2:58" ht="15" hidden="1" customHeight="1" x14ac:dyDescent="0.2">
      <c r="B318" s="252"/>
      <c r="C318" s="252"/>
      <c r="D318" s="256"/>
      <c r="E318" s="257"/>
      <c r="F318" s="257"/>
      <c r="G318" s="257"/>
      <c r="H318" s="257"/>
      <c r="I318" s="257"/>
      <c r="J318" s="258"/>
      <c r="K318" s="241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  <c r="AA318" s="242"/>
      <c r="AB318" s="242"/>
      <c r="AC318" s="242"/>
      <c r="AD318" s="242"/>
      <c r="AE318" s="242"/>
      <c r="AF318" s="242"/>
      <c r="AG318" s="242"/>
      <c r="AH318" s="242"/>
      <c r="AI318" s="242"/>
      <c r="AJ318" s="242"/>
      <c r="AK318" s="242"/>
      <c r="AL318" s="242"/>
      <c r="AM318" s="242"/>
      <c r="AN318" s="242"/>
      <c r="AO318" s="242"/>
      <c r="AP318" s="242"/>
      <c r="AQ318" s="242"/>
      <c r="AR318" s="242"/>
      <c r="AS318" s="243"/>
      <c r="AT318" s="252"/>
      <c r="AU318" s="252"/>
      <c r="AV318" s="252"/>
      <c r="AW318" s="252"/>
      <c r="AX318" s="252"/>
      <c r="AY318" s="252"/>
      <c r="BC318" s="7">
        <f t="shared" si="17"/>
        <v>0</v>
      </c>
      <c r="BD318" s="7">
        <f t="shared" si="18"/>
        <v>0</v>
      </c>
      <c r="BE318" s="7">
        <f t="shared" si="19"/>
        <v>0</v>
      </c>
      <c r="BF318" s="7">
        <f t="shared" si="20"/>
        <v>0</v>
      </c>
    </row>
    <row r="319" spans="2:58" ht="15" hidden="1" customHeight="1" x14ac:dyDescent="0.2">
      <c r="B319" s="252"/>
      <c r="C319" s="252"/>
      <c r="D319" s="256"/>
      <c r="E319" s="257"/>
      <c r="F319" s="257"/>
      <c r="G319" s="257"/>
      <c r="H319" s="257"/>
      <c r="I319" s="257"/>
      <c r="J319" s="258"/>
      <c r="K319" s="241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  <c r="AA319" s="242"/>
      <c r="AB319" s="242"/>
      <c r="AC319" s="242"/>
      <c r="AD319" s="242"/>
      <c r="AE319" s="242"/>
      <c r="AF319" s="242"/>
      <c r="AG319" s="242"/>
      <c r="AH319" s="242"/>
      <c r="AI319" s="242"/>
      <c r="AJ319" s="242"/>
      <c r="AK319" s="242"/>
      <c r="AL319" s="242"/>
      <c r="AM319" s="242"/>
      <c r="AN319" s="242"/>
      <c r="AO319" s="242"/>
      <c r="AP319" s="242"/>
      <c r="AQ319" s="242"/>
      <c r="AR319" s="242"/>
      <c r="AS319" s="243"/>
      <c r="AT319" s="252"/>
      <c r="AU319" s="252"/>
      <c r="AV319" s="252"/>
      <c r="AW319" s="252"/>
      <c r="AX319" s="252"/>
      <c r="AY319" s="252"/>
      <c r="BC319" s="7">
        <f t="shared" si="17"/>
        <v>0</v>
      </c>
      <c r="BD319" s="7">
        <f t="shared" si="18"/>
        <v>0</v>
      </c>
      <c r="BE319" s="7">
        <f t="shared" si="19"/>
        <v>0</v>
      </c>
      <c r="BF319" s="7">
        <f t="shared" si="20"/>
        <v>0</v>
      </c>
    </row>
    <row r="320" spans="2:58" ht="15" hidden="1" customHeight="1" x14ac:dyDescent="0.2">
      <c r="B320" s="252"/>
      <c r="C320" s="252"/>
      <c r="D320" s="256"/>
      <c r="E320" s="257"/>
      <c r="F320" s="257"/>
      <c r="G320" s="257"/>
      <c r="H320" s="257"/>
      <c r="I320" s="257"/>
      <c r="J320" s="258"/>
      <c r="K320" s="241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K320" s="242"/>
      <c r="AL320" s="242"/>
      <c r="AM320" s="242"/>
      <c r="AN320" s="242"/>
      <c r="AO320" s="242"/>
      <c r="AP320" s="242"/>
      <c r="AQ320" s="242"/>
      <c r="AR320" s="242"/>
      <c r="AS320" s="243"/>
      <c r="AT320" s="252"/>
      <c r="AU320" s="252"/>
      <c r="AV320" s="252"/>
      <c r="AW320" s="252"/>
      <c r="AX320" s="252"/>
      <c r="AY320" s="252"/>
      <c r="BC320" s="7">
        <f t="shared" si="17"/>
        <v>0</v>
      </c>
      <c r="BD320" s="7">
        <f t="shared" si="18"/>
        <v>0</v>
      </c>
      <c r="BE320" s="7">
        <f t="shared" si="19"/>
        <v>0</v>
      </c>
      <c r="BF320" s="7">
        <f t="shared" si="20"/>
        <v>0</v>
      </c>
    </row>
    <row r="321" spans="2:58" ht="15" hidden="1" customHeight="1" x14ac:dyDescent="0.2">
      <c r="B321" s="252"/>
      <c r="C321" s="252"/>
      <c r="D321" s="256"/>
      <c r="E321" s="257"/>
      <c r="F321" s="257"/>
      <c r="G321" s="257"/>
      <c r="H321" s="257"/>
      <c r="I321" s="257"/>
      <c r="J321" s="258"/>
      <c r="K321" s="241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  <c r="AA321" s="242"/>
      <c r="AB321" s="242"/>
      <c r="AC321" s="242"/>
      <c r="AD321" s="242"/>
      <c r="AE321" s="242"/>
      <c r="AF321" s="242"/>
      <c r="AG321" s="242"/>
      <c r="AH321" s="242"/>
      <c r="AI321" s="242"/>
      <c r="AJ321" s="242"/>
      <c r="AK321" s="242"/>
      <c r="AL321" s="242"/>
      <c r="AM321" s="242"/>
      <c r="AN321" s="242"/>
      <c r="AO321" s="242"/>
      <c r="AP321" s="242"/>
      <c r="AQ321" s="242"/>
      <c r="AR321" s="242"/>
      <c r="AS321" s="243"/>
      <c r="AT321" s="252"/>
      <c r="AU321" s="252"/>
      <c r="AV321" s="252"/>
      <c r="AW321" s="252"/>
      <c r="AX321" s="252"/>
      <c r="AY321" s="252"/>
      <c r="BC321" s="7">
        <f t="shared" si="17"/>
        <v>0</v>
      </c>
      <c r="BD321" s="7">
        <f t="shared" si="18"/>
        <v>0</v>
      </c>
      <c r="BE321" s="7">
        <f t="shared" si="19"/>
        <v>0</v>
      </c>
      <c r="BF321" s="7">
        <f t="shared" si="20"/>
        <v>0</v>
      </c>
    </row>
    <row r="322" spans="2:58" ht="15" hidden="1" customHeight="1" x14ac:dyDescent="0.2">
      <c r="B322" s="252"/>
      <c r="C322" s="252"/>
      <c r="D322" s="256"/>
      <c r="E322" s="257"/>
      <c r="F322" s="257"/>
      <c r="G322" s="257"/>
      <c r="H322" s="257"/>
      <c r="I322" s="257"/>
      <c r="J322" s="258"/>
      <c r="K322" s="241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  <c r="AA322" s="242"/>
      <c r="AB322" s="242"/>
      <c r="AC322" s="242"/>
      <c r="AD322" s="242"/>
      <c r="AE322" s="242"/>
      <c r="AF322" s="242"/>
      <c r="AG322" s="242"/>
      <c r="AH322" s="242"/>
      <c r="AI322" s="242"/>
      <c r="AJ322" s="242"/>
      <c r="AK322" s="242"/>
      <c r="AL322" s="242"/>
      <c r="AM322" s="242"/>
      <c r="AN322" s="242"/>
      <c r="AO322" s="242"/>
      <c r="AP322" s="242"/>
      <c r="AQ322" s="242"/>
      <c r="AR322" s="242"/>
      <c r="AS322" s="243"/>
      <c r="AT322" s="252"/>
      <c r="AU322" s="252"/>
      <c r="AV322" s="252"/>
      <c r="AW322" s="252"/>
      <c r="AX322" s="252"/>
      <c r="AY322" s="252"/>
      <c r="BC322" s="7">
        <f t="shared" si="17"/>
        <v>0</v>
      </c>
      <c r="BD322" s="7">
        <f t="shared" si="18"/>
        <v>0</v>
      </c>
      <c r="BE322" s="7">
        <f t="shared" si="19"/>
        <v>0</v>
      </c>
      <c r="BF322" s="7">
        <f t="shared" si="20"/>
        <v>0</v>
      </c>
    </row>
    <row r="323" spans="2:58" ht="15" hidden="1" customHeight="1" x14ac:dyDescent="0.2">
      <c r="B323" s="252"/>
      <c r="C323" s="252"/>
      <c r="D323" s="256"/>
      <c r="E323" s="257"/>
      <c r="F323" s="257"/>
      <c r="G323" s="257"/>
      <c r="H323" s="257"/>
      <c r="I323" s="257"/>
      <c r="J323" s="258"/>
      <c r="K323" s="241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  <c r="AA323" s="242"/>
      <c r="AB323" s="242"/>
      <c r="AC323" s="242"/>
      <c r="AD323" s="242"/>
      <c r="AE323" s="242"/>
      <c r="AF323" s="242"/>
      <c r="AG323" s="242"/>
      <c r="AH323" s="242"/>
      <c r="AI323" s="242"/>
      <c r="AJ323" s="242"/>
      <c r="AK323" s="242"/>
      <c r="AL323" s="242"/>
      <c r="AM323" s="242"/>
      <c r="AN323" s="242"/>
      <c r="AO323" s="242"/>
      <c r="AP323" s="242"/>
      <c r="AQ323" s="242"/>
      <c r="AR323" s="242"/>
      <c r="AS323" s="243"/>
      <c r="AT323" s="252"/>
      <c r="AU323" s="252"/>
      <c r="AV323" s="252"/>
      <c r="AW323" s="252"/>
      <c r="AX323" s="252"/>
      <c r="AY323" s="252"/>
      <c r="BC323" s="7">
        <f t="shared" si="17"/>
        <v>0</v>
      </c>
      <c r="BD323" s="7">
        <f t="shared" si="18"/>
        <v>0</v>
      </c>
      <c r="BE323" s="7">
        <f t="shared" si="19"/>
        <v>0</v>
      </c>
      <c r="BF323" s="7">
        <f t="shared" si="20"/>
        <v>0</v>
      </c>
    </row>
    <row r="324" spans="2:58" ht="15" hidden="1" customHeight="1" x14ac:dyDescent="0.2">
      <c r="B324" s="252"/>
      <c r="C324" s="252"/>
      <c r="D324" s="256"/>
      <c r="E324" s="257"/>
      <c r="F324" s="257"/>
      <c r="G324" s="257"/>
      <c r="H324" s="257"/>
      <c r="I324" s="257"/>
      <c r="J324" s="258"/>
      <c r="K324" s="241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  <c r="AA324" s="242"/>
      <c r="AB324" s="242"/>
      <c r="AC324" s="242"/>
      <c r="AD324" s="242"/>
      <c r="AE324" s="242"/>
      <c r="AF324" s="242"/>
      <c r="AG324" s="242"/>
      <c r="AH324" s="242"/>
      <c r="AI324" s="242"/>
      <c r="AJ324" s="242"/>
      <c r="AK324" s="242"/>
      <c r="AL324" s="242"/>
      <c r="AM324" s="242"/>
      <c r="AN324" s="242"/>
      <c r="AO324" s="242"/>
      <c r="AP324" s="242"/>
      <c r="AQ324" s="242"/>
      <c r="AR324" s="242"/>
      <c r="AS324" s="243"/>
      <c r="AT324" s="252"/>
      <c r="AU324" s="252"/>
      <c r="AV324" s="252"/>
      <c r="AW324" s="252"/>
      <c r="AX324" s="252"/>
      <c r="AY324" s="252"/>
      <c r="BC324" s="7">
        <f t="shared" si="17"/>
        <v>0</v>
      </c>
      <c r="BD324" s="7">
        <f t="shared" si="18"/>
        <v>0</v>
      </c>
      <c r="BE324" s="7">
        <f t="shared" si="19"/>
        <v>0</v>
      </c>
      <c r="BF324" s="7">
        <f t="shared" si="20"/>
        <v>0</v>
      </c>
    </row>
    <row r="325" spans="2:58" ht="15" hidden="1" customHeight="1" x14ac:dyDescent="0.2">
      <c r="B325" s="252"/>
      <c r="C325" s="252"/>
      <c r="D325" s="256"/>
      <c r="E325" s="257"/>
      <c r="F325" s="257"/>
      <c r="G325" s="257"/>
      <c r="H325" s="257"/>
      <c r="I325" s="257"/>
      <c r="J325" s="258"/>
      <c r="K325" s="241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  <c r="AA325" s="242"/>
      <c r="AB325" s="242"/>
      <c r="AC325" s="242"/>
      <c r="AD325" s="242"/>
      <c r="AE325" s="242"/>
      <c r="AF325" s="242"/>
      <c r="AG325" s="242"/>
      <c r="AH325" s="242"/>
      <c r="AI325" s="242"/>
      <c r="AJ325" s="242"/>
      <c r="AK325" s="242"/>
      <c r="AL325" s="242"/>
      <c r="AM325" s="242"/>
      <c r="AN325" s="242"/>
      <c r="AO325" s="242"/>
      <c r="AP325" s="242"/>
      <c r="AQ325" s="242"/>
      <c r="AR325" s="242"/>
      <c r="AS325" s="243"/>
      <c r="AT325" s="252"/>
      <c r="AU325" s="252"/>
      <c r="AV325" s="252"/>
      <c r="AW325" s="252"/>
      <c r="AX325" s="252"/>
      <c r="AY325" s="252"/>
      <c r="BC325" s="7">
        <f t="shared" si="17"/>
        <v>0</v>
      </c>
      <c r="BD325" s="7">
        <f t="shared" si="18"/>
        <v>0</v>
      </c>
      <c r="BE325" s="7">
        <f t="shared" si="19"/>
        <v>0</v>
      </c>
      <c r="BF325" s="7">
        <f t="shared" si="20"/>
        <v>0</v>
      </c>
    </row>
    <row r="326" spans="2:58" ht="15" hidden="1" customHeight="1" x14ac:dyDescent="0.2">
      <c r="B326" s="252"/>
      <c r="C326" s="252"/>
      <c r="D326" s="256"/>
      <c r="E326" s="257"/>
      <c r="F326" s="257"/>
      <c r="G326" s="257"/>
      <c r="H326" s="257"/>
      <c r="I326" s="257"/>
      <c r="J326" s="258"/>
      <c r="K326" s="241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  <c r="AA326" s="242"/>
      <c r="AB326" s="242"/>
      <c r="AC326" s="242"/>
      <c r="AD326" s="242"/>
      <c r="AE326" s="242"/>
      <c r="AF326" s="242"/>
      <c r="AG326" s="242"/>
      <c r="AH326" s="242"/>
      <c r="AI326" s="242"/>
      <c r="AJ326" s="242"/>
      <c r="AK326" s="242"/>
      <c r="AL326" s="242"/>
      <c r="AM326" s="242"/>
      <c r="AN326" s="242"/>
      <c r="AO326" s="242"/>
      <c r="AP326" s="242"/>
      <c r="AQ326" s="242"/>
      <c r="AR326" s="242"/>
      <c r="AS326" s="243"/>
      <c r="AT326" s="252"/>
      <c r="AU326" s="252"/>
      <c r="AV326" s="252"/>
      <c r="AW326" s="252"/>
      <c r="AX326" s="252"/>
      <c r="AY326" s="252"/>
      <c r="BC326" s="7">
        <f t="shared" si="17"/>
        <v>0</v>
      </c>
      <c r="BD326" s="7">
        <f t="shared" si="18"/>
        <v>0</v>
      </c>
      <c r="BE326" s="7">
        <f t="shared" si="19"/>
        <v>0</v>
      </c>
      <c r="BF326" s="7">
        <f t="shared" si="20"/>
        <v>0</v>
      </c>
    </row>
    <row r="327" spans="2:58" ht="15" hidden="1" customHeight="1" x14ac:dyDescent="0.2">
      <c r="B327" s="252"/>
      <c r="C327" s="252"/>
      <c r="D327" s="256"/>
      <c r="E327" s="257"/>
      <c r="F327" s="257"/>
      <c r="G327" s="257"/>
      <c r="H327" s="257"/>
      <c r="I327" s="257"/>
      <c r="J327" s="258"/>
      <c r="K327" s="241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  <c r="AA327" s="242"/>
      <c r="AB327" s="242"/>
      <c r="AC327" s="242"/>
      <c r="AD327" s="242"/>
      <c r="AE327" s="242"/>
      <c r="AF327" s="242"/>
      <c r="AG327" s="242"/>
      <c r="AH327" s="242"/>
      <c r="AI327" s="242"/>
      <c r="AJ327" s="242"/>
      <c r="AK327" s="242"/>
      <c r="AL327" s="242"/>
      <c r="AM327" s="242"/>
      <c r="AN327" s="242"/>
      <c r="AO327" s="242"/>
      <c r="AP327" s="242"/>
      <c r="AQ327" s="242"/>
      <c r="AR327" s="242"/>
      <c r="AS327" s="243"/>
      <c r="AT327" s="252"/>
      <c r="AU327" s="252"/>
      <c r="AV327" s="252"/>
      <c r="AW327" s="252"/>
      <c r="AX327" s="252"/>
      <c r="AY327" s="252"/>
      <c r="BC327" s="7">
        <f t="shared" si="17"/>
        <v>0</v>
      </c>
      <c r="BD327" s="7">
        <f t="shared" si="18"/>
        <v>0</v>
      </c>
      <c r="BE327" s="7">
        <f t="shared" si="19"/>
        <v>0</v>
      </c>
      <c r="BF327" s="7">
        <f t="shared" si="20"/>
        <v>0</v>
      </c>
    </row>
    <row r="328" spans="2:58" ht="15" hidden="1" customHeight="1" x14ac:dyDescent="0.2">
      <c r="B328" s="252"/>
      <c r="C328" s="252"/>
      <c r="D328" s="256"/>
      <c r="E328" s="257"/>
      <c r="F328" s="257"/>
      <c r="G328" s="257"/>
      <c r="H328" s="257"/>
      <c r="I328" s="257"/>
      <c r="J328" s="258"/>
      <c r="K328" s="241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  <c r="AA328" s="242"/>
      <c r="AB328" s="242"/>
      <c r="AC328" s="242"/>
      <c r="AD328" s="242"/>
      <c r="AE328" s="242"/>
      <c r="AF328" s="242"/>
      <c r="AG328" s="242"/>
      <c r="AH328" s="242"/>
      <c r="AI328" s="242"/>
      <c r="AJ328" s="242"/>
      <c r="AK328" s="242"/>
      <c r="AL328" s="242"/>
      <c r="AM328" s="242"/>
      <c r="AN328" s="242"/>
      <c r="AO328" s="242"/>
      <c r="AP328" s="242"/>
      <c r="AQ328" s="242"/>
      <c r="AR328" s="242"/>
      <c r="AS328" s="243"/>
      <c r="AT328" s="252"/>
      <c r="AU328" s="252"/>
      <c r="AV328" s="252"/>
      <c r="AW328" s="252"/>
      <c r="AX328" s="252"/>
      <c r="AY328" s="252"/>
      <c r="BC328" s="7">
        <f t="shared" si="17"/>
        <v>0</v>
      </c>
      <c r="BD328" s="7">
        <f t="shared" si="18"/>
        <v>0</v>
      </c>
      <c r="BE328" s="7">
        <f t="shared" si="19"/>
        <v>0</v>
      </c>
      <c r="BF328" s="7">
        <f t="shared" si="20"/>
        <v>0</v>
      </c>
    </row>
    <row r="329" spans="2:58" ht="15" hidden="1" customHeight="1" x14ac:dyDescent="0.2">
      <c r="B329" s="252"/>
      <c r="C329" s="252"/>
      <c r="D329" s="256"/>
      <c r="E329" s="257"/>
      <c r="F329" s="257"/>
      <c r="G329" s="257"/>
      <c r="H329" s="257"/>
      <c r="I329" s="257"/>
      <c r="J329" s="258"/>
      <c r="K329" s="241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  <c r="AA329" s="242"/>
      <c r="AB329" s="242"/>
      <c r="AC329" s="242"/>
      <c r="AD329" s="242"/>
      <c r="AE329" s="242"/>
      <c r="AF329" s="242"/>
      <c r="AG329" s="242"/>
      <c r="AH329" s="242"/>
      <c r="AI329" s="242"/>
      <c r="AJ329" s="242"/>
      <c r="AK329" s="242"/>
      <c r="AL329" s="242"/>
      <c r="AM329" s="242"/>
      <c r="AN329" s="242"/>
      <c r="AO329" s="242"/>
      <c r="AP329" s="242"/>
      <c r="AQ329" s="242"/>
      <c r="AR329" s="242"/>
      <c r="AS329" s="243"/>
      <c r="AT329" s="252"/>
      <c r="AU329" s="252"/>
      <c r="AV329" s="252"/>
      <c r="AW329" s="252"/>
      <c r="AX329" s="252"/>
      <c r="AY329" s="252"/>
      <c r="BC329" s="7">
        <f t="shared" si="17"/>
        <v>0</v>
      </c>
      <c r="BD329" s="7">
        <f t="shared" si="18"/>
        <v>0</v>
      </c>
      <c r="BE329" s="7">
        <f t="shared" si="19"/>
        <v>0</v>
      </c>
      <c r="BF329" s="7">
        <f t="shared" si="20"/>
        <v>0</v>
      </c>
    </row>
    <row r="330" spans="2:58" ht="15" hidden="1" customHeight="1" x14ac:dyDescent="0.2">
      <c r="B330" s="252"/>
      <c r="C330" s="252"/>
      <c r="D330" s="256"/>
      <c r="E330" s="257"/>
      <c r="F330" s="257"/>
      <c r="G330" s="257"/>
      <c r="H330" s="257"/>
      <c r="I330" s="257"/>
      <c r="J330" s="258"/>
      <c r="K330" s="241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  <c r="AA330" s="242"/>
      <c r="AB330" s="242"/>
      <c r="AC330" s="242"/>
      <c r="AD330" s="242"/>
      <c r="AE330" s="242"/>
      <c r="AF330" s="242"/>
      <c r="AG330" s="242"/>
      <c r="AH330" s="242"/>
      <c r="AI330" s="242"/>
      <c r="AJ330" s="242"/>
      <c r="AK330" s="242"/>
      <c r="AL330" s="242"/>
      <c r="AM330" s="242"/>
      <c r="AN330" s="242"/>
      <c r="AO330" s="242"/>
      <c r="AP330" s="242"/>
      <c r="AQ330" s="242"/>
      <c r="AR330" s="242"/>
      <c r="AS330" s="243"/>
      <c r="AT330" s="252"/>
      <c r="AU330" s="252"/>
      <c r="AV330" s="252"/>
      <c r="AW330" s="252"/>
      <c r="AX330" s="252"/>
      <c r="AY330" s="252"/>
      <c r="BC330" s="7">
        <f t="shared" si="17"/>
        <v>0</v>
      </c>
      <c r="BD330" s="7">
        <f t="shared" si="18"/>
        <v>0</v>
      </c>
      <c r="BE330" s="7">
        <f t="shared" si="19"/>
        <v>0</v>
      </c>
      <c r="BF330" s="7">
        <f t="shared" si="20"/>
        <v>0</v>
      </c>
    </row>
    <row r="331" spans="2:58" ht="15" hidden="1" customHeight="1" x14ac:dyDescent="0.2">
      <c r="B331" s="252"/>
      <c r="C331" s="252"/>
      <c r="D331" s="256"/>
      <c r="E331" s="257"/>
      <c r="F331" s="257"/>
      <c r="G331" s="257"/>
      <c r="H331" s="257"/>
      <c r="I331" s="257"/>
      <c r="J331" s="258"/>
      <c r="K331" s="241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  <c r="AA331" s="242"/>
      <c r="AB331" s="242"/>
      <c r="AC331" s="242"/>
      <c r="AD331" s="242"/>
      <c r="AE331" s="242"/>
      <c r="AF331" s="242"/>
      <c r="AG331" s="242"/>
      <c r="AH331" s="242"/>
      <c r="AI331" s="242"/>
      <c r="AJ331" s="242"/>
      <c r="AK331" s="242"/>
      <c r="AL331" s="242"/>
      <c r="AM331" s="242"/>
      <c r="AN331" s="242"/>
      <c r="AO331" s="242"/>
      <c r="AP331" s="242"/>
      <c r="AQ331" s="242"/>
      <c r="AR331" s="242"/>
      <c r="AS331" s="243"/>
      <c r="AT331" s="252"/>
      <c r="AU331" s="252"/>
      <c r="AV331" s="252"/>
      <c r="AW331" s="252"/>
      <c r="AX331" s="252"/>
      <c r="AY331" s="252"/>
      <c r="BC331" s="7">
        <f t="shared" si="17"/>
        <v>0</v>
      </c>
      <c r="BD331" s="7">
        <f t="shared" si="18"/>
        <v>0</v>
      </c>
      <c r="BE331" s="7">
        <f t="shared" si="19"/>
        <v>0</v>
      </c>
      <c r="BF331" s="7">
        <f t="shared" si="20"/>
        <v>0</v>
      </c>
    </row>
    <row r="332" spans="2:58" ht="15" hidden="1" customHeight="1" x14ac:dyDescent="0.2">
      <c r="B332" s="252"/>
      <c r="C332" s="252"/>
      <c r="D332" s="256"/>
      <c r="E332" s="257"/>
      <c r="F332" s="257"/>
      <c r="G332" s="257"/>
      <c r="H332" s="257"/>
      <c r="I332" s="257"/>
      <c r="J332" s="258"/>
      <c r="K332" s="241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  <c r="AA332" s="242"/>
      <c r="AB332" s="242"/>
      <c r="AC332" s="242"/>
      <c r="AD332" s="242"/>
      <c r="AE332" s="242"/>
      <c r="AF332" s="242"/>
      <c r="AG332" s="242"/>
      <c r="AH332" s="242"/>
      <c r="AI332" s="242"/>
      <c r="AJ332" s="242"/>
      <c r="AK332" s="242"/>
      <c r="AL332" s="242"/>
      <c r="AM332" s="242"/>
      <c r="AN332" s="242"/>
      <c r="AO332" s="242"/>
      <c r="AP332" s="242"/>
      <c r="AQ332" s="242"/>
      <c r="AR332" s="242"/>
      <c r="AS332" s="243"/>
      <c r="AT332" s="252"/>
      <c r="AU332" s="252"/>
      <c r="AV332" s="252"/>
      <c r="AW332" s="252"/>
      <c r="AX332" s="252"/>
      <c r="AY332" s="252"/>
      <c r="BC332" s="7">
        <f t="shared" si="17"/>
        <v>0</v>
      </c>
      <c r="BD332" s="7">
        <f t="shared" si="18"/>
        <v>0</v>
      </c>
      <c r="BE332" s="7">
        <f t="shared" si="19"/>
        <v>0</v>
      </c>
      <c r="BF332" s="7">
        <f t="shared" si="20"/>
        <v>0</v>
      </c>
    </row>
    <row r="333" spans="2:58" ht="15" hidden="1" customHeight="1" x14ac:dyDescent="0.2">
      <c r="B333" s="252"/>
      <c r="C333" s="252"/>
      <c r="D333" s="256"/>
      <c r="E333" s="257"/>
      <c r="F333" s="257"/>
      <c r="G333" s="257"/>
      <c r="H333" s="257"/>
      <c r="I333" s="257"/>
      <c r="J333" s="258"/>
      <c r="K333" s="241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  <c r="AA333" s="242"/>
      <c r="AB333" s="242"/>
      <c r="AC333" s="242"/>
      <c r="AD333" s="242"/>
      <c r="AE333" s="242"/>
      <c r="AF333" s="242"/>
      <c r="AG333" s="242"/>
      <c r="AH333" s="242"/>
      <c r="AI333" s="242"/>
      <c r="AJ333" s="242"/>
      <c r="AK333" s="242"/>
      <c r="AL333" s="242"/>
      <c r="AM333" s="242"/>
      <c r="AN333" s="242"/>
      <c r="AO333" s="242"/>
      <c r="AP333" s="242"/>
      <c r="AQ333" s="242"/>
      <c r="AR333" s="242"/>
      <c r="AS333" s="243"/>
      <c r="AT333" s="252"/>
      <c r="AU333" s="252"/>
      <c r="AV333" s="252"/>
      <c r="AW333" s="252"/>
      <c r="AX333" s="252"/>
      <c r="AY333" s="252"/>
      <c r="BC333" s="7">
        <f t="shared" si="17"/>
        <v>0</v>
      </c>
      <c r="BD333" s="7">
        <f t="shared" si="18"/>
        <v>0</v>
      </c>
      <c r="BE333" s="7">
        <f t="shared" si="19"/>
        <v>0</v>
      </c>
      <c r="BF333" s="7">
        <f t="shared" si="20"/>
        <v>0</v>
      </c>
    </row>
    <row r="334" spans="2:58" ht="15" hidden="1" customHeight="1" x14ac:dyDescent="0.2">
      <c r="B334" s="252"/>
      <c r="C334" s="252"/>
      <c r="D334" s="256"/>
      <c r="E334" s="257"/>
      <c r="F334" s="257"/>
      <c r="G334" s="257"/>
      <c r="H334" s="257"/>
      <c r="I334" s="257"/>
      <c r="J334" s="258"/>
      <c r="K334" s="241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  <c r="AA334" s="242"/>
      <c r="AB334" s="242"/>
      <c r="AC334" s="242"/>
      <c r="AD334" s="242"/>
      <c r="AE334" s="242"/>
      <c r="AF334" s="242"/>
      <c r="AG334" s="242"/>
      <c r="AH334" s="242"/>
      <c r="AI334" s="242"/>
      <c r="AJ334" s="242"/>
      <c r="AK334" s="242"/>
      <c r="AL334" s="242"/>
      <c r="AM334" s="242"/>
      <c r="AN334" s="242"/>
      <c r="AO334" s="242"/>
      <c r="AP334" s="242"/>
      <c r="AQ334" s="242"/>
      <c r="AR334" s="242"/>
      <c r="AS334" s="243"/>
      <c r="AT334" s="252"/>
      <c r="AU334" s="252"/>
      <c r="AV334" s="252"/>
      <c r="AW334" s="252"/>
      <c r="AX334" s="252"/>
      <c r="AY334" s="252"/>
      <c r="BC334" s="7">
        <f t="shared" si="17"/>
        <v>0</v>
      </c>
      <c r="BD334" s="7">
        <f t="shared" si="18"/>
        <v>0</v>
      </c>
      <c r="BE334" s="7">
        <f t="shared" si="19"/>
        <v>0</v>
      </c>
      <c r="BF334" s="7">
        <f t="shared" si="20"/>
        <v>0</v>
      </c>
    </row>
    <row r="335" spans="2:58" ht="15" hidden="1" customHeight="1" x14ac:dyDescent="0.2">
      <c r="B335" s="252"/>
      <c r="C335" s="252"/>
      <c r="D335" s="256"/>
      <c r="E335" s="257"/>
      <c r="F335" s="257"/>
      <c r="G335" s="257"/>
      <c r="H335" s="257"/>
      <c r="I335" s="257"/>
      <c r="J335" s="258"/>
      <c r="K335" s="241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242"/>
      <c r="AJ335" s="242"/>
      <c r="AK335" s="242"/>
      <c r="AL335" s="242"/>
      <c r="AM335" s="242"/>
      <c r="AN335" s="242"/>
      <c r="AO335" s="242"/>
      <c r="AP335" s="242"/>
      <c r="AQ335" s="242"/>
      <c r="AR335" s="242"/>
      <c r="AS335" s="243"/>
      <c r="AT335" s="252"/>
      <c r="AU335" s="252"/>
      <c r="AV335" s="252"/>
      <c r="AW335" s="252"/>
      <c r="AX335" s="252"/>
      <c r="AY335" s="252"/>
      <c r="BC335" s="7">
        <f t="shared" si="17"/>
        <v>0</v>
      </c>
      <c r="BD335" s="7">
        <f t="shared" si="18"/>
        <v>0</v>
      </c>
      <c r="BE335" s="7">
        <f t="shared" si="19"/>
        <v>0</v>
      </c>
      <c r="BF335" s="7">
        <f t="shared" si="20"/>
        <v>0</v>
      </c>
    </row>
    <row r="336" spans="2:58" ht="15" hidden="1" customHeight="1" x14ac:dyDescent="0.2">
      <c r="B336" s="252"/>
      <c r="C336" s="252"/>
      <c r="D336" s="256"/>
      <c r="E336" s="257"/>
      <c r="F336" s="257"/>
      <c r="G336" s="257"/>
      <c r="H336" s="257"/>
      <c r="I336" s="257"/>
      <c r="J336" s="258"/>
      <c r="K336" s="241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  <c r="AA336" s="242"/>
      <c r="AB336" s="242"/>
      <c r="AC336" s="242"/>
      <c r="AD336" s="242"/>
      <c r="AE336" s="242"/>
      <c r="AF336" s="242"/>
      <c r="AG336" s="242"/>
      <c r="AH336" s="242"/>
      <c r="AI336" s="242"/>
      <c r="AJ336" s="242"/>
      <c r="AK336" s="242"/>
      <c r="AL336" s="242"/>
      <c r="AM336" s="242"/>
      <c r="AN336" s="242"/>
      <c r="AO336" s="242"/>
      <c r="AP336" s="242"/>
      <c r="AQ336" s="242"/>
      <c r="AR336" s="242"/>
      <c r="AS336" s="243"/>
      <c r="AT336" s="252"/>
      <c r="AU336" s="252"/>
      <c r="AV336" s="252"/>
      <c r="AW336" s="252"/>
      <c r="AX336" s="252"/>
      <c r="AY336" s="252"/>
      <c r="BC336" s="7">
        <f t="shared" si="17"/>
        <v>0</v>
      </c>
      <c r="BD336" s="7">
        <f t="shared" si="18"/>
        <v>0</v>
      </c>
      <c r="BE336" s="7">
        <f t="shared" si="19"/>
        <v>0</v>
      </c>
      <c r="BF336" s="7">
        <f t="shared" si="20"/>
        <v>0</v>
      </c>
    </row>
    <row r="337" spans="2:58" ht="15" hidden="1" customHeight="1" x14ac:dyDescent="0.2">
      <c r="B337" s="252"/>
      <c r="C337" s="252"/>
      <c r="D337" s="256"/>
      <c r="E337" s="257"/>
      <c r="F337" s="257"/>
      <c r="G337" s="257"/>
      <c r="H337" s="257"/>
      <c r="I337" s="257"/>
      <c r="J337" s="258"/>
      <c r="K337" s="241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  <c r="AA337" s="242"/>
      <c r="AB337" s="242"/>
      <c r="AC337" s="242"/>
      <c r="AD337" s="242"/>
      <c r="AE337" s="242"/>
      <c r="AF337" s="242"/>
      <c r="AG337" s="242"/>
      <c r="AH337" s="242"/>
      <c r="AI337" s="242"/>
      <c r="AJ337" s="242"/>
      <c r="AK337" s="242"/>
      <c r="AL337" s="242"/>
      <c r="AM337" s="242"/>
      <c r="AN337" s="242"/>
      <c r="AO337" s="242"/>
      <c r="AP337" s="242"/>
      <c r="AQ337" s="242"/>
      <c r="AR337" s="242"/>
      <c r="AS337" s="243"/>
      <c r="AT337" s="252"/>
      <c r="AU337" s="252"/>
      <c r="AV337" s="252"/>
      <c r="AW337" s="252"/>
      <c r="AX337" s="252"/>
      <c r="AY337" s="252"/>
      <c r="BC337" s="7">
        <f t="shared" si="17"/>
        <v>0</v>
      </c>
      <c r="BD337" s="7">
        <f t="shared" si="18"/>
        <v>0</v>
      </c>
      <c r="BE337" s="7">
        <f t="shared" si="19"/>
        <v>0</v>
      </c>
      <c r="BF337" s="7">
        <f t="shared" si="20"/>
        <v>0</v>
      </c>
    </row>
    <row r="338" spans="2:58" ht="15" hidden="1" customHeight="1" x14ac:dyDescent="0.2">
      <c r="B338" s="252"/>
      <c r="C338" s="252"/>
      <c r="D338" s="256"/>
      <c r="E338" s="257"/>
      <c r="F338" s="257"/>
      <c r="G338" s="257"/>
      <c r="H338" s="257"/>
      <c r="I338" s="257"/>
      <c r="J338" s="258"/>
      <c r="K338" s="241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  <c r="AA338" s="242"/>
      <c r="AB338" s="242"/>
      <c r="AC338" s="242"/>
      <c r="AD338" s="242"/>
      <c r="AE338" s="242"/>
      <c r="AF338" s="242"/>
      <c r="AG338" s="242"/>
      <c r="AH338" s="242"/>
      <c r="AI338" s="242"/>
      <c r="AJ338" s="242"/>
      <c r="AK338" s="242"/>
      <c r="AL338" s="242"/>
      <c r="AM338" s="242"/>
      <c r="AN338" s="242"/>
      <c r="AO338" s="242"/>
      <c r="AP338" s="242"/>
      <c r="AQ338" s="242"/>
      <c r="AR338" s="242"/>
      <c r="AS338" s="243"/>
      <c r="AT338" s="252"/>
      <c r="AU338" s="252"/>
      <c r="AV338" s="252"/>
      <c r="AW338" s="252"/>
      <c r="AX338" s="252"/>
      <c r="AY338" s="252"/>
      <c r="BC338" s="7">
        <f t="shared" si="17"/>
        <v>0</v>
      </c>
      <c r="BD338" s="7">
        <f t="shared" si="18"/>
        <v>0</v>
      </c>
      <c r="BE338" s="7">
        <f t="shared" si="19"/>
        <v>0</v>
      </c>
      <c r="BF338" s="7">
        <f t="shared" si="20"/>
        <v>0</v>
      </c>
    </row>
    <row r="339" spans="2:58" ht="15" hidden="1" customHeight="1" x14ac:dyDescent="0.2">
      <c r="B339" s="252"/>
      <c r="C339" s="252"/>
      <c r="D339" s="256"/>
      <c r="E339" s="257"/>
      <c r="F339" s="257"/>
      <c r="G339" s="257"/>
      <c r="H339" s="257"/>
      <c r="I339" s="257"/>
      <c r="J339" s="258"/>
      <c r="K339" s="241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  <c r="AA339" s="242"/>
      <c r="AB339" s="242"/>
      <c r="AC339" s="242"/>
      <c r="AD339" s="242"/>
      <c r="AE339" s="242"/>
      <c r="AF339" s="242"/>
      <c r="AG339" s="242"/>
      <c r="AH339" s="242"/>
      <c r="AI339" s="242"/>
      <c r="AJ339" s="242"/>
      <c r="AK339" s="242"/>
      <c r="AL339" s="242"/>
      <c r="AM339" s="242"/>
      <c r="AN339" s="242"/>
      <c r="AO339" s="242"/>
      <c r="AP339" s="242"/>
      <c r="AQ339" s="242"/>
      <c r="AR339" s="242"/>
      <c r="AS339" s="243"/>
      <c r="AT339" s="252"/>
      <c r="AU339" s="252"/>
      <c r="AV339" s="252"/>
      <c r="AW339" s="252"/>
      <c r="AX339" s="252"/>
      <c r="AY339" s="252"/>
      <c r="BC339" s="7">
        <f t="shared" si="17"/>
        <v>0</v>
      </c>
      <c r="BD339" s="7">
        <f t="shared" si="18"/>
        <v>0</v>
      </c>
      <c r="BE339" s="7">
        <f t="shared" si="19"/>
        <v>0</v>
      </c>
      <c r="BF339" s="7">
        <f t="shared" si="20"/>
        <v>0</v>
      </c>
    </row>
    <row r="340" spans="2:58" ht="15" hidden="1" customHeight="1" x14ac:dyDescent="0.2">
      <c r="B340" s="252"/>
      <c r="C340" s="252"/>
      <c r="D340" s="256"/>
      <c r="E340" s="257"/>
      <c r="F340" s="257"/>
      <c r="G340" s="257"/>
      <c r="H340" s="257"/>
      <c r="I340" s="257"/>
      <c r="J340" s="258"/>
      <c r="K340" s="241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  <c r="AA340" s="242"/>
      <c r="AB340" s="242"/>
      <c r="AC340" s="242"/>
      <c r="AD340" s="242"/>
      <c r="AE340" s="242"/>
      <c r="AF340" s="242"/>
      <c r="AG340" s="242"/>
      <c r="AH340" s="242"/>
      <c r="AI340" s="242"/>
      <c r="AJ340" s="242"/>
      <c r="AK340" s="242"/>
      <c r="AL340" s="242"/>
      <c r="AM340" s="242"/>
      <c r="AN340" s="242"/>
      <c r="AO340" s="242"/>
      <c r="AP340" s="242"/>
      <c r="AQ340" s="242"/>
      <c r="AR340" s="242"/>
      <c r="AS340" s="243"/>
      <c r="AT340" s="252"/>
      <c r="AU340" s="252"/>
      <c r="AV340" s="252"/>
      <c r="AW340" s="252"/>
      <c r="AX340" s="252"/>
      <c r="AY340" s="252"/>
      <c r="BC340" s="7">
        <f t="shared" si="17"/>
        <v>0</v>
      </c>
      <c r="BD340" s="7">
        <f t="shared" si="18"/>
        <v>0</v>
      </c>
      <c r="BE340" s="7">
        <f t="shared" si="19"/>
        <v>0</v>
      </c>
      <c r="BF340" s="7">
        <f t="shared" si="20"/>
        <v>0</v>
      </c>
    </row>
    <row r="341" spans="2:58" ht="15" hidden="1" customHeight="1" x14ac:dyDescent="0.2">
      <c r="B341" s="252"/>
      <c r="C341" s="252"/>
      <c r="D341" s="256"/>
      <c r="E341" s="257"/>
      <c r="F341" s="257"/>
      <c r="G341" s="257"/>
      <c r="H341" s="257"/>
      <c r="I341" s="257"/>
      <c r="J341" s="258"/>
      <c r="K341" s="241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  <c r="AA341" s="242"/>
      <c r="AB341" s="242"/>
      <c r="AC341" s="242"/>
      <c r="AD341" s="242"/>
      <c r="AE341" s="242"/>
      <c r="AF341" s="242"/>
      <c r="AG341" s="242"/>
      <c r="AH341" s="242"/>
      <c r="AI341" s="242"/>
      <c r="AJ341" s="242"/>
      <c r="AK341" s="242"/>
      <c r="AL341" s="242"/>
      <c r="AM341" s="242"/>
      <c r="AN341" s="242"/>
      <c r="AO341" s="242"/>
      <c r="AP341" s="242"/>
      <c r="AQ341" s="242"/>
      <c r="AR341" s="242"/>
      <c r="AS341" s="243"/>
      <c r="AT341" s="252"/>
      <c r="AU341" s="252"/>
      <c r="AV341" s="252"/>
      <c r="AW341" s="252"/>
      <c r="AX341" s="252"/>
      <c r="AY341" s="252"/>
      <c r="BC341" s="7">
        <f t="shared" si="17"/>
        <v>0</v>
      </c>
      <c r="BD341" s="7">
        <f t="shared" si="18"/>
        <v>0</v>
      </c>
      <c r="BE341" s="7">
        <f t="shared" si="19"/>
        <v>0</v>
      </c>
      <c r="BF341" s="7">
        <f t="shared" si="20"/>
        <v>0</v>
      </c>
    </row>
    <row r="342" spans="2:58" ht="15" hidden="1" customHeight="1" x14ac:dyDescent="0.2">
      <c r="B342" s="252"/>
      <c r="C342" s="252"/>
      <c r="D342" s="259"/>
      <c r="E342" s="260"/>
      <c r="F342" s="260"/>
      <c r="G342" s="260"/>
      <c r="H342" s="260"/>
      <c r="I342" s="260"/>
      <c r="J342" s="261"/>
      <c r="K342" s="241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  <c r="AA342" s="242"/>
      <c r="AB342" s="242"/>
      <c r="AC342" s="242"/>
      <c r="AD342" s="242"/>
      <c r="AE342" s="242"/>
      <c r="AF342" s="242"/>
      <c r="AG342" s="242"/>
      <c r="AH342" s="242"/>
      <c r="AI342" s="242"/>
      <c r="AJ342" s="242"/>
      <c r="AK342" s="242"/>
      <c r="AL342" s="242"/>
      <c r="AM342" s="242"/>
      <c r="AN342" s="242"/>
      <c r="AO342" s="242"/>
      <c r="AP342" s="242"/>
      <c r="AQ342" s="242"/>
      <c r="AR342" s="242"/>
      <c r="AS342" s="243"/>
      <c r="AT342" s="252"/>
      <c r="AU342" s="252"/>
      <c r="AV342" s="252"/>
      <c r="AW342" s="252"/>
      <c r="AX342" s="252"/>
      <c r="AY342" s="252"/>
      <c r="BC342" s="7">
        <f t="shared" si="17"/>
        <v>0</v>
      </c>
      <c r="BD342" s="7">
        <f t="shared" si="18"/>
        <v>0</v>
      </c>
      <c r="BE342" s="7">
        <f t="shared" si="19"/>
        <v>0</v>
      </c>
      <c r="BF342" s="7">
        <f t="shared" si="20"/>
        <v>0</v>
      </c>
    </row>
    <row r="343" spans="2:58" ht="216" customHeight="1" x14ac:dyDescent="0.2">
      <c r="B343" s="252">
        <v>11</v>
      </c>
      <c r="C343" s="252"/>
      <c r="D343" s="484" t="s">
        <v>221</v>
      </c>
      <c r="E343" s="485"/>
      <c r="F343" s="485"/>
      <c r="G343" s="485"/>
      <c r="H343" s="485"/>
      <c r="I343" s="485"/>
      <c r="J343" s="486"/>
      <c r="K343" s="266" t="s">
        <v>222</v>
      </c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  <c r="AC343" s="267"/>
      <c r="AD343" s="267"/>
      <c r="AE343" s="267"/>
      <c r="AF343" s="267"/>
      <c r="AG343" s="267"/>
      <c r="AH343" s="267"/>
      <c r="AI343" s="267"/>
      <c r="AJ343" s="267"/>
      <c r="AK343" s="267"/>
      <c r="AL343" s="267"/>
      <c r="AM343" s="267"/>
      <c r="AN343" s="267"/>
      <c r="AO343" s="267"/>
      <c r="AP343" s="267"/>
      <c r="AQ343" s="267"/>
      <c r="AR343" s="267"/>
      <c r="AS343" s="268"/>
      <c r="AT343" s="252" t="s">
        <v>223</v>
      </c>
      <c r="AU343" s="252"/>
      <c r="AV343" s="252"/>
      <c r="AW343" s="252"/>
      <c r="AX343" s="252"/>
      <c r="AY343" s="252"/>
      <c r="BC343" s="7">
        <f t="shared" si="17"/>
        <v>11</v>
      </c>
      <c r="BD343" s="7" t="str">
        <f t="shared" si="18"/>
        <v>REMOVER ATERRAMENTO MÓVEL TEMPORÁRIO
Essa atividade deve ser acompanhada pela equipe de Operação Local e deve ser realizada pela mesma pessoa delegada para instalação.</v>
      </c>
      <c r="BE343" s="7" t="str">
        <f t="shared" si="19"/>
        <v xml:space="preserve"> - Avisar a todos os membros da equipe que será iniciada a etapa de retirada do conjunto de aterramento temporário.
 - Utilizando o bastão isolante, aproximar-se do conector ligado ao pulo/barramento/equipamento e efetuar a desconexão.
 - Caso o uso da luva isolante com cobertura comprometa a ergonomia ou ofereça risco de escorregamento do bastão, poderá ser utilizada luva de algodão, considerando que a ausência de tensão já foi confirmada (está aterrado).
 - Cuidadosamente, levar a extremidade desconectada do cabo de aterramento até o nível do solo – evitar contato com o cabo de aterramento e sua aproximação de pontos energizados durante esse procedimento.
 - Efetuar a desconexão do grampo de terra somente após TODOS os cabos terem sido desconectados da parte superior;
 - Acondicionar adequadamente o conjunto de aterramento em local abrigado.
 - O responsável pela intervenção deve proceder uma inspeção visual na área de segurança prevista no PEX e verificar se todos os cabos de aterramento foram retirados;
 - Contar o número de aterramentos temporários removidos e confrontar com os utilizados.</v>
      </c>
      <c r="BF343" s="7" t="str">
        <f t="shared" si="20"/>
        <v>Natanael e Fabiano (mesma dupla delegada para instalação)
(Supervisão Operação local)</v>
      </c>
    </row>
    <row r="344" spans="2:58" ht="54" customHeight="1" x14ac:dyDescent="0.2">
      <c r="B344" s="252">
        <v>12</v>
      </c>
      <c r="C344" s="252"/>
      <c r="D344" s="241" t="s">
        <v>224</v>
      </c>
      <c r="E344" s="242"/>
      <c r="F344" s="242"/>
      <c r="G344" s="242"/>
      <c r="H344" s="242"/>
      <c r="I344" s="242"/>
      <c r="J344" s="243"/>
      <c r="K344" s="241" t="s">
        <v>225</v>
      </c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  <c r="AA344" s="242"/>
      <c r="AB344" s="242"/>
      <c r="AC344" s="242"/>
      <c r="AD344" s="242"/>
      <c r="AE344" s="242"/>
      <c r="AF344" s="242"/>
      <c r="AG344" s="242"/>
      <c r="AH344" s="242"/>
      <c r="AI344" s="242"/>
      <c r="AJ344" s="242"/>
      <c r="AK344" s="242"/>
      <c r="AL344" s="242"/>
      <c r="AM344" s="242"/>
      <c r="AN344" s="242"/>
      <c r="AO344" s="242"/>
      <c r="AP344" s="242"/>
      <c r="AQ344" s="242"/>
      <c r="AR344" s="242"/>
      <c r="AS344" s="243"/>
      <c r="AT344" s="252" t="s">
        <v>166</v>
      </c>
      <c r="AU344" s="252"/>
      <c r="AV344" s="252"/>
      <c r="AW344" s="252"/>
      <c r="AX344" s="252"/>
      <c r="AY344" s="252"/>
      <c r="BC344" s="7">
        <f t="shared" si="17"/>
        <v>12</v>
      </c>
      <c r="BD344" s="7" t="str">
        <f t="shared" si="18"/>
        <v>RETIRAR SINALIZAÇÃO E LIMPAR ÁREA DE TRABALHO</v>
      </c>
      <c r="BE344" s="7" t="str">
        <f t="shared" si="19"/>
        <v>Realizar limpeza da área e remover todo material, veículos e maquinários utilizados na atividade.</v>
      </c>
      <c r="BF344" s="7" t="str">
        <f t="shared" si="20"/>
        <v>Equipe OOTFB.C, com apoio ELIMCO</v>
      </c>
    </row>
    <row r="345" spans="2:58" ht="37.5" customHeight="1" x14ac:dyDescent="0.2">
      <c r="B345" s="252">
        <v>13</v>
      </c>
      <c r="C345" s="252"/>
      <c r="D345" s="241" t="s">
        <v>226</v>
      </c>
      <c r="E345" s="242"/>
      <c r="F345" s="242"/>
      <c r="G345" s="242"/>
      <c r="H345" s="242"/>
      <c r="I345" s="242"/>
      <c r="J345" s="243"/>
      <c r="K345" s="241" t="s">
        <v>227</v>
      </c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  <c r="AA345" s="242"/>
      <c r="AB345" s="242"/>
      <c r="AC345" s="242"/>
      <c r="AD345" s="242"/>
      <c r="AE345" s="242"/>
      <c r="AF345" s="242"/>
      <c r="AG345" s="242"/>
      <c r="AH345" s="242"/>
      <c r="AI345" s="242"/>
      <c r="AJ345" s="242"/>
      <c r="AK345" s="242"/>
      <c r="AL345" s="242"/>
      <c r="AM345" s="242"/>
      <c r="AN345" s="242"/>
      <c r="AO345" s="242"/>
      <c r="AP345" s="242"/>
      <c r="AQ345" s="242"/>
      <c r="AR345" s="242"/>
      <c r="AS345" s="243"/>
      <c r="AT345" s="252" t="s">
        <v>161</v>
      </c>
      <c r="AU345" s="252"/>
      <c r="AV345" s="252"/>
      <c r="AW345" s="252"/>
      <c r="AX345" s="252"/>
      <c r="AY345" s="252"/>
      <c r="BC345" s="7">
        <f t="shared" si="17"/>
        <v>13</v>
      </c>
      <c r="BD345" s="7" t="str">
        <f t="shared" si="18"/>
        <v>DEVOLVER INTERVENÇÃO</v>
      </c>
      <c r="BE345" s="7" t="str">
        <f t="shared" si="19"/>
        <v>Devolver a intervenção à operação, acompanhar manobras de Normalização, caso necessário.
A equipe deverá ausentar-se da instalação somente após normalização do equipamento.</v>
      </c>
      <c r="BF345" s="7" t="str">
        <f t="shared" si="20"/>
        <v>Douglas / Diego</v>
      </c>
    </row>
    <row r="346" spans="2:58" ht="94.5" customHeight="1" x14ac:dyDescent="0.2">
      <c r="B346" s="252">
        <v>14</v>
      </c>
      <c r="C346" s="252"/>
      <c r="D346" s="241" t="s">
        <v>164</v>
      </c>
      <c r="E346" s="242"/>
      <c r="F346" s="242"/>
      <c r="G346" s="242"/>
      <c r="H346" s="242"/>
      <c r="I346" s="242"/>
      <c r="J346" s="243"/>
      <c r="K346" s="266" t="s">
        <v>228</v>
      </c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  <c r="AC346" s="267"/>
      <c r="AD346" s="267"/>
      <c r="AE346" s="267"/>
      <c r="AF346" s="267"/>
      <c r="AG346" s="267"/>
      <c r="AH346" s="267"/>
      <c r="AI346" s="267"/>
      <c r="AJ346" s="267"/>
      <c r="AK346" s="267"/>
      <c r="AL346" s="267"/>
      <c r="AM346" s="267"/>
      <c r="AN346" s="267"/>
      <c r="AO346" s="267"/>
      <c r="AP346" s="267"/>
      <c r="AQ346" s="267"/>
      <c r="AR346" s="267"/>
      <c r="AS346" s="268"/>
      <c r="AT346" s="252" t="s">
        <v>166</v>
      </c>
      <c r="AU346" s="252"/>
      <c r="AV346" s="252"/>
      <c r="AW346" s="252"/>
      <c r="AX346" s="252"/>
      <c r="AY346" s="252"/>
      <c r="BC346" s="7">
        <f t="shared" si="17"/>
        <v>14</v>
      </c>
      <c r="BD346" s="7" t="str">
        <f t="shared" si="18"/>
        <v>APOIO PARA MANOBRAS DE SECCIONADORAS JUNTO À OPERAÇÃO LOCAL</v>
      </c>
      <c r="BE346" s="7" t="str">
        <f t="shared" si="19"/>
        <v xml:space="preserve"> - Caso seja necessário auxiliar no fechamento ou abertura de seccionadoras, utilizar a técnica à distância com apoio do bastão isolante, pelo solo, ou com escalada pelos pórticos laterais da seccionadora, utilizando técnica de trabalho em altura.
 - Sempre atentar para a distância de segurança durante toda a atividade. 
 - Limitar os movimentos durante a execução de deslocamentos e manobras.
 - Aproximar ou tocar partes energizadas com ferramentas isolantes somente em condições atmosféricas adequadas, conforme Tabela 2 da NM-MN-LT.002.</v>
      </c>
      <c r="BF346" s="7" t="str">
        <f t="shared" si="20"/>
        <v>Equipe OOTFB.C, com apoio ELIMCO</v>
      </c>
    </row>
    <row r="348" spans="2:58" ht="15" customHeight="1" x14ac:dyDescent="0.2">
      <c r="B348" s="225" t="s">
        <v>229</v>
      </c>
      <c r="C348" s="226"/>
      <c r="D348" s="227" t="s">
        <v>230</v>
      </c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  <c r="AB348" s="227"/>
      <c r="AC348" s="227"/>
      <c r="AD348" s="227"/>
      <c r="AE348" s="227"/>
      <c r="AF348" s="227"/>
      <c r="AG348" s="227"/>
      <c r="AH348" s="227"/>
      <c r="AI348" s="227"/>
      <c r="AJ348" s="227"/>
      <c r="AK348" s="227"/>
      <c r="AL348" s="227"/>
      <c r="AM348" s="227"/>
      <c r="AN348" s="227"/>
      <c r="AO348" s="227"/>
      <c r="AP348" s="227"/>
      <c r="AQ348" s="227"/>
      <c r="AR348" s="227"/>
      <c r="AS348" s="227"/>
      <c r="AT348" s="227"/>
      <c r="AU348" s="227"/>
      <c r="AV348" s="227"/>
      <c r="AW348" s="227"/>
      <c r="AX348" s="227"/>
      <c r="AY348" s="228"/>
    </row>
    <row r="349" spans="2:58" ht="7.5" customHeight="1" thickBot="1" x14ac:dyDescent="0.25"/>
    <row r="350" spans="2:58" ht="16.5" customHeight="1" thickTop="1" thickBot="1" x14ac:dyDescent="0.25">
      <c r="B350" s="205" t="s">
        <v>231</v>
      </c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7"/>
      <c r="W350" s="205" t="s">
        <v>232</v>
      </c>
      <c r="X350" s="206"/>
      <c r="Y350" s="206"/>
      <c r="Z350" s="206"/>
      <c r="AA350" s="206"/>
      <c r="AB350" s="206"/>
      <c r="AC350" s="206"/>
      <c r="AD350" s="207"/>
      <c r="AE350" s="203" t="s">
        <v>233</v>
      </c>
      <c r="AF350" s="203"/>
      <c r="AG350" s="203"/>
      <c r="AH350" s="203"/>
      <c r="AI350" s="203"/>
      <c r="AJ350" s="203"/>
      <c r="AK350" s="203"/>
      <c r="AL350" s="202" t="s">
        <v>234</v>
      </c>
      <c r="AM350" s="203"/>
      <c r="AN350" s="203"/>
      <c r="AO350" s="203"/>
      <c r="AP350" s="203"/>
      <c r="AQ350" s="203"/>
      <c r="AR350" s="203"/>
      <c r="AS350" s="203" t="s">
        <v>235</v>
      </c>
      <c r="AT350" s="203"/>
      <c r="AU350" s="203"/>
      <c r="AV350" s="203"/>
      <c r="AW350" s="203"/>
      <c r="AX350" s="203"/>
      <c r="AY350" s="203"/>
    </row>
    <row r="351" spans="2:58" ht="15.75" thickTop="1" thickBot="1" x14ac:dyDescent="0.25">
      <c r="B351" s="208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10"/>
      <c r="W351" s="208"/>
      <c r="X351" s="209"/>
      <c r="Y351" s="209"/>
      <c r="Z351" s="209"/>
      <c r="AA351" s="209"/>
      <c r="AB351" s="209"/>
      <c r="AC351" s="209"/>
      <c r="AD351" s="210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</row>
    <row r="352" spans="2:58" ht="15.75" thickTop="1" thickBot="1" x14ac:dyDescent="0.25">
      <c r="B352" s="211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3"/>
      <c r="W352" s="211"/>
      <c r="X352" s="212"/>
      <c r="Y352" s="212"/>
      <c r="Z352" s="212"/>
      <c r="AA352" s="212"/>
      <c r="AB352" s="212"/>
      <c r="AC352" s="212"/>
      <c r="AD352" s="213"/>
      <c r="AE352" s="203"/>
      <c r="AF352" s="203"/>
      <c r="AG352" s="203"/>
      <c r="AH352" s="203"/>
      <c r="AI352" s="203"/>
      <c r="AJ352" s="203"/>
      <c r="AK352" s="203"/>
      <c r="AL352" s="223" t="s">
        <v>236</v>
      </c>
      <c r="AM352" s="223"/>
      <c r="AN352" s="223"/>
      <c r="AO352" s="223"/>
      <c r="AP352" s="223"/>
      <c r="AQ352" s="223"/>
      <c r="AR352" s="223"/>
      <c r="AS352" s="203"/>
      <c r="AT352" s="203"/>
      <c r="AU352" s="203"/>
      <c r="AV352" s="203"/>
      <c r="AW352" s="203"/>
      <c r="AX352" s="203"/>
      <c r="AY352" s="203"/>
    </row>
    <row r="353" spans="2:51" ht="20.25" customHeight="1" thickTop="1" x14ac:dyDescent="0.2">
      <c r="B353" s="214" t="s">
        <v>7</v>
      </c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6"/>
      <c r="W353" s="220" t="str">
        <f>_xlfn.XLOOKUP(B353,Tabela6[Nome Completo],Tabela6[Empresa/Equipe],"",0)</f>
        <v>AXIA/OOTFB-SE</v>
      </c>
      <c r="X353" s="221"/>
      <c r="Y353" s="221"/>
      <c r="Z353" s="221"/>
      <c r="AA353" s="221"/>
      <c r="AB353" s="221"/>
      <c r="AC353" s="221"/>
      <c r="AD353" s="222"/>
      <c r="AE353" s="204">
        <f>_xlfn.XLOOKUP(B353,Tabela6[Nome Completo],Tabela6[Matrícula SAP/ Documento],"",0)</f>
        <v>268186</v>
      </c>
      <c r="AF353" s="204"/>
      <c r="AG353" s="204"/>
      <c r="AH353" s="204"/>
      <c r="AI353" s="204"/>
      <c r="AJ353" s="204"/>
      <c r="AK353" s="204"/>
      <c r="AL353" s="224"/>
      <c r="AM353" s="219"/>
      <c r="AN353" s="219"/>
      <c r="AO353" s="219"/>
      <c r="AP353" s="219"/>
      <c r="AQ353" s="219"/>
      <c r="AR353" s="219"/>
      <c r="AS353" s="219"/>
      <c r="AT353" s="219"/>
      <c r="AU353" s="219"/>
      <c r="AV353" s="219"/>
      <c r="AW353" s="219"/>
      <c r="AX353" s="219"/>
      <c r="AY353" s="219"/>
    </row>
    <row r="354" spans="2:51" ht="19.5" customHeight="1" x14ac:dyDescent="0.2">
      <c r="B354" s="193" t="s">
        <v>237</v>
      </c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5"/>
      <c r="W354" s="196" t="str">
        <f>_xlfn.XLOOKUP(B354,Tabela6[Nome Completo],Tabela6[Empresa/Equipe],"",0)</f>
        <v>AXIA/OOTFB-SE</v>
      </c>
      <c r="X354" s="197"/>
      <c r="Y354" s="197"/>
      <c r="Z354" s="197"/>
      <c r="AA354" s="197"/>
      <c r="AB354" s="197"/>
      <c r="AC354" s="197"/>
      <c r="AD354" s="198"/>
      <c r="AE354" s="201">
        <f>_xlfn.XLOOKUP(B354,Tabela6[Nome Completo],Tabela6[Matrícula SAP/ Documento],"",0)</f>
        <v>257946</v>
      </c>
      <c r="AF354" s="201"/>
      <c r="AG354" s="201"/>
      <c r="AH354" s="201"/>
      <c r="AI354" s="201"/>
      <c r="AJ354" s="201"/>
      <c r="AK354" s="201"/>
      <c r="AL354" s="217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</row>
    <row r="355" spans="2:51" ht="19.5" customHeight="1" x14ac:dyDescent="0.2">
      <c r="B355" s="193" t="s">
        <v>238</v>
      </c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5"/>
      <c r="W355" s="196" t="str">
        <f>_xlfn.XLOOKUP(B355,Tabela6[Nome Completo],Tabela6[Empresa/Equipe],"",0)</f>
        <v>AXIA/OOTFB-SE</v>
      </c>
      <c r="X355" s="197"/>
      <c r="Y355" s="197"/>
      <c r="Z355" s="197"/>
      <c r="AA355" s="197"/>
      <c r="AB355" s="197"/>
      <c r="AC355" s="197"/>
      <c r="AD355" s="198"/>
      <c r="AE355" s="201">
        <f>_xlfn.XLOOKUP(B355,Tabela6[Nome Completo],Tabela6[Matrícula SAP/ Documento],"",0)</f>
        <v>269848</v>
      </c>
      <c r="AF355" s="201"/>
      <c r="AG355" s="201"/>
      <c r="AH355" s="201"/>
      <c r="AI355" s="201"/>
      <c r="AJ355" s="201"/>
      <c r="AK355" s="201"/>
      <c r="AL355" s="217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</row>
    <row r="356" spans="2:51" ht="19.5" customHeight="1" x14ac:dyDescent="0.2">
      <c r="B356" s="193" t="s">
        <v>239</v>
      </c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5"/>
      <c r="W356" s="196" t="str">
        <f>_xlfn.XLOOKUP(B356,Tabela6[Nome Completo],Tabela6[Empresa/Equipe],"",0)</f>
        <v>AXIA/OOTFB-SE</v>
      </c>
      <c r="X356" s="197"/>
      <c r="Y356" s="197"/>
      <c r="Z356" s="197"/>
      <c r="AA356" s="197"/>
      <c r="AB356" s="197"/>
      <c r="AC356" s="197"/>
      <c r="AD356" s="198"/>
      <c r="AE356" s="201">
        <f>_xlfn.XLOOKUP(B356,Tabela6[Nome Completo],Tabela6[Matrícula SAP/ Documento],"",0)</f>
        <v>264243</v>
      </c>
      <c r="AF356" s="201"/>
      <c r="AG356" s="201"/>
      <c r="AH356" s="201"/>
      <c r="AI356" s="201"/>
      <c r="AJ356" s="201"/>
      <c r="AK356" s="201"/>
      <c r="AL356" s="217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</row>
    <row r="357" spans="2:51" ht="19.5" customHeight="1" x14ac:dyDescent="0.2">
      <c r="B357" s="193" t="s">
        <v>240</v>
      </c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5"/>
      <c r="W357" s="196" t="str">
        <f>_xlfn.XLOOKUP(B357,Tabela6[Nome Completo],Tabela6[Empresa/Equipe],"",0)</f>
        <v>AXIA/OOTFB-SE</v>
      </c>
      <c r="X357" s="197"/>
      <c r="Y357" s="197"/>
      <c r="Z357" s="197"/>
      <c r="AA357" s="197"/>
      <c r="AB357" s="197"/>
      <c r="AC357" s="197"/>
      <c r="AD357" s="198"/>
      <c r="AE357" s="201">
        <f>_xlfn.XLOOKUP(B357,Tabela6[Nome Completo],Tabela6[Matrícula SAP/ Documento],"",0)</f>
        <v>266279</v>
      </c>
      <c r="AF357" s="201"/>
      <c r="AG357" s="201"/>
      <c r="AH357" s="201"/>
      <c r="AI357" s="201"/>
      <c r="AJ357" s="201"/>
      <c r="AK357" s="201"/>
      <c r="AL357" s="217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</row>
    <row r="358" spans="2:51" ht="19.5" customHeight="1" x14ac:dyDescent="0.2">
      <c r="B358" s="193" t="s">
        <v>241</v>
      </c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5"/>
      <c r="W358" s="196" t="str">
        <f>_xlfn.XLOOKUP(B358,Tabela6[Nome Completo],Tabela6[Empresa/Equipe],"",0)</f>
        <v>ELIMCO/O&amp;M BNB</v>
      </c>
      <c r="X358" s="197"/>
      <c r="Y358" s="197"/>
      <c r="Z358" s="197"/>
      <c r="AA358" s="197"/>
      <c r="AB358" s="197"/>
      <c r="AC358" s="197"/>
      <c r="AD358" s="198"/>
      <c r="AE358" s="201">
        <f>_xlfn.XLOOKUP(B358,Tabela6[Nome Completo],Tabela6[Matrícula SAP/ Documento],"",0)</f>
        <v>341374</v>
      </c>
      <c r="AF358" s="201"/>
      <c r="AG358" s="201"/>
      <c r="AH358" s="201"/>
      <c r="AI358" s="201"/>
      <c r="AJ358" s="201"/>
      <c r="AK358" s="201"/>
      <c r="AL358" s="217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</row>
    <row r="359" spans="2:51" ht="19.5" customHeight="1" x14ac:dyDescent="0.2">
      <c r="B359" s="193" t="s">
        <v>11</v>
      </c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5"/>
      <c r="W359" s="196" t="str">
        <f>_xlfn.XLOOKUP(B359,Tabela6[Nome Completo],Tabela6[Empresa/Equipe],"",0)</f>
        <v>ELIMCO/O&amp;M BNB</v>
      </c>
      <c r="X359" s="197"/>
      <c r="Y359" s="197"/>
      <c r="Z359" s="197"/>
      <c r="AA359" s="197"/>
      <c r="AB359" s="197"/>
      <c r="AC359" s="197"/>
      <c r="AD359" s="198"/>
      <c r="AE359" s="201">
        <f>_xlfn.XLOOKUP(B359,Tabela6[Nome Completo],Tabela6[Matrícula SAP/ Documento],"",0)</f>
        <v>329170</v>
      </c>
      <c r="AF359" s="201"/>
      <c r="AG359" s="201"/>
      <c r="AH359" s="201"/>
      <c r="AI359" s="201"/>
      <c r="AJ359" s="201"/>
      <c r="AK359" s="201"/>
      <c r="AL359" s="217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</row>
    <row r="360" spans="2:51" ht="19.5" customHeight="1" x14ac:dyDescent="0.2">
      <c r="B360" s="193" t="s">
        <v>242</v>
      </c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5"/>
      <c r="W360" s="196" t="str">
        <f>_xlfn.XLOOKUP(B360,Tabela6[Nome Completo],Tabela6[Empresa/Equipe],"",0)</f>
        <v>ELIMCO/O&amp;M BNB</v>
      </c>
      <c r="X360" s="197"/>
      <c r="Y360" s="197"/>
      <c r="Z360" s="197"/>
      <c r="AA360" s="197"/>
      <c r="AB360" s="197"/>
      <c r="AC360" s="197"/>
      <c r="AD360" s="198"/>
      <c r="AE360" s="201">
        <f>_xlfn.XLOOKUP(B360,Tabela6[Nome Completo],Tabela6[Matrícula SAP/ Documento],"",0)</f>
        <v>341373</v>
      </c>
      <c r="AF360" s="201"/>
      <c r="AG360" s="201"/>
      <c r="AH360" s="201"/>
      <c r="AI360" s="201"/>
      <c r="AJ360" s="201"/>
      <c r="AK360" s="201"/>
      <c r="AL360" s="217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</row>
    <row r="361" spans="2:51" ht="19.5" customHeight="1" x14ac:dyDescent="0.2">
      <c r="B361" s="193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5"/>
      <c r="W361" s="196" t="str">
        <f>_xlfn.XLOOKUP(B361,Tabela6[Nome Completo],Tabela6[Empresa/Equipe],"",0)</f>
        <v/>
      </c>
      <c r="X361" s="197"/>
      <c r="Y361" s="197"/>
      <c r="Z361" s="197"/>
      <c r="AA361" s="197"/>
      <c r="AB361" s="197"/>
      <c r="AC361" s="197"/>
      <c r="AD361" s="198"/>
      <c r="AE361" s="201" t="str">
        <f>_xlfn.XLOOKUP(B361,Tabela6[Nome Completo],Tabela6[Matrícula SAP/ Documento],"",0)</f>
        <v/>
      </c>
      <c r="AF361" s="201"/>
      <c r="AG361" s="201"/>
      <c r="AH361" s="201"/>
      <c r="AI361" s="201"/>
      <c r="AJ361" s="201"/>
      <c r="AK361" s="201"/>
      <c r="AL361" s="217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</row>
    <row r="362" spans="2:51" ht="19.5" x14ac:dyDescent="0.2">
      <c r="B362" s="193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5"/>
      <c r="W362" s="196" t="str">
        <f>_xlfn.XLOOKUP(B362,Tabela6[Nome Completo],Tabela6[Empresa/Equipe],"",0)</f>
        <v/>
      </c>
      <c r="X362" s="197"/>
      <c r="Y362" s="197"/>
      <c r="Z362" s="197"/>
      <c r="AA362" s="197"/>
      <c r="AB362" s="197"/>
      <c r="AC362" s="197"/>
      <c r="AD362" s="198"/>
      <c r="AE362" s="201" t="str">
        <f>_xlfn.XLOOKUP(B362,Tabela6[Nome Completo],Tabela6[Matrícula SAP/ Documento],"",0)</f>
        <v/>
      </c>
      <c r="AF362" s="201"/>
      <c r="AG362" s="201"/>
      <c r="AH362" s="201"/>
      <c r="AI362" s="201"/>
      <c r="AJ362" s="201"/>
      <c r="AK362" s="201"/>
      <c r="AL362" s="217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</row>
    <row r="363" spans="2:51" ht="19.5" x14ac:dyDescent="0.2">
      <c r="B363" s="193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5"/>
      <c r="W363" s="196" t="str">
        <f>_xlfn.XLOOKUP(B363,Tabela6[Nome Completo],Tabela6[Empresa/Equipe],"",0)</f>
        <v/>
      </c>
      <c r="X363" s="197"/>
      <c r="Y363" s="197"/>
      <c r="Z363" s="197"/>
      <c r="AA363" s="197"/>
      <c r="AB363" s="197"/>
      <c r="AC363" s="197"/>
      <c r="AD363" s="198"/>
      <c r="AE363" s="201" t="str">
        <f>_xlfn.XLOOKUP(B363,Tabela6[Nome Completo],Tabela6[Matrícula SAP/ Documento],"",0)</f>
        <v/>
      </c>
      <c r="AF363" s="201"/>
      <c r="AG363" s="201"/>
      <c r="AH363" s="201"/>
      <c r="AI363" s="201"/>
      <c r="AJ363" s="201"/>
      <c r="AK363" s="201"/>
      <c r="AL363" s="217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</row>
    <row r="364" spans="2:51" ht="19.5" x14ac:dyDescent="0.2">
      <c r="B364" s="193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5"/>
      <c r="W364" s="196" t="str">
        <f>_xlfn.XLOOKUP(B364,Tabela6[Nome Completo],Tabela6[Empresa/Equipe],"",0)</f>
        <v/>
      </c>
      <c r="X364" s="197"/>
      <c r="Y364" s="197"/>
      <c r="Z364" s="197"/>
      <c r="AA364" s="197"/>
      <c r="AB364" s="197"/>
      <c r="AC364" s="197"/>
      <c r="AD364" s="198"/>
      <c r="AE364" s="201" t="str">
        <f>_xlfn.XLOOKUP(B364,Tabela6[Nome Completo],Tabela6[Matrícula SAP/ Documento],"",0)</f>
        <v/>
      </c>
      <c r="AF364" s="201"/>
      <c r="AG364" s="201"/>
      <c r="AH364" s="201"/>
      <c r="AI364" s="201"/>
      <c r="AJ364" s="201"/>
      <c r="AK364" s="201"/>
      <c r="AL364" s="217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</row>
    <row r="365" spans="2:51" ht="19.5" x14ac:dyDescent="0.2">
      <c r="B365" s="193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5"/>
      <c r="W365" s="196" t="str">
        <f>_xlfn.XLOOKUP(B365,Tabela6[Nome Completo],Tabela6[Empresa/Equipe],"",0)</f>
        <v/>
      </c>
      <c r="X365" s="197"/>
      <c r="Y365" s="197"/>
      <c r="Z365" s="197"/>
      <c r="AA365" s="197"/>
      <c r="AB365" s="197"/>
      <c r="AC365" s="197"/>
      <c r="AD365" s="198"/>
      <c r="AE365" s="201" t="str">
        <f>_xlfn.XLOOKUP(B365,Tabela6[Nome Completo],Tabela6[Matrícula SAP/ Documento],"",0)</f>
        <v/>
      </c>
      <c r="AF365" s="201"/>
      <c r="AG365" s="201"/>
      <c r="AH365" s="201"/>
      <c r="AI365" s="201"/>
      <c r="AJ365" s="201"/>
      <c r="AK365" s="201"/>
      <c r="AL365" s="217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</row>
    <row r="366" spans="2:51" ht="19.5" x14ac:dyDescent="0.2">
      <c r="B366" s="193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5"/>
      <c r="W366" s="196" t="str">
        <f>_xlfn.XLOOKUP(B366,Tabela6[Nome Completo],Tabela6[Empresa/Equipe],"",0)</f>
        <v/>
      </c>
      <c r="X366" s="197"/>
      <c r="Y366" s="197"/>
      <c r="Z366" s="197"/>
      <c r="AA366" s="197"/>
      <c r="AB366" s="197"/>
      <c r="AC366" s="197"/>
      <c r="AD366" s="198"/>
      <c r="AE366" s="201" t="str">
        <f>_xlfn.XLOOKUP(B366,Tabela6[Nome Completo],Tabela6[Matrícula SAP/ Documento],"",0)</f>
        <v/>
      </c>
      <c r="AF366" s="201"/>
      <c r="AG366" s="201"/>
      <c r="AH366" s="201"/>
      <c r="AI366" s="201"/>
      <c r="AJ366" s="201"/>
      <c r="AK366" s="201"/>
      <c r="AL366" s="217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</row>
    <row r="367" spans="2:51" ht="19.5" x14ac:dyDescent="0.2">
      <c r="B367" s="193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5"/>
      <c r="W367" s="196" t="str">
        <f>_xlfn.XLOOKUP(B367,Tabela6[Nome Completo],Tabela6[Empresa/Equipe],"",0)</f>
        <v/>
      </c>
      <c r="X367" s="197"/>
      <c r="Y367" s="197"/>
      <c r="Z367" s="197"/>
      <c r="AA367" s="197"/>
      <c r="AB367" s="197"/>
      <c r="AC367" s="197"/>
      <c r="AD367" s="198"/>
      <c r="AE367" s="201" t="str">
        <f>_xlfn.XLOOKUP(B367,Tabela6[Nome Completo],Tabela6[Matrícula SAP/ Documento],"",0)</f>
        <v/>
      </c>
      <c r="AF367" s="201"/>
      <c r="AG367" s="201"/>
      <c r="AH367" s="201"/>
      <c r="AI367" s="201"/>
      <c r="AJ367" s="201"/>
      <c r="AK367" s="201"/>
      <c r="AL367" s="217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</row>
    <row r="368" spans="2:51" ht="19.5" x14ac:dyDescent="0.2">
      <c r="B368" s="193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5"/>
      <c r="W368" s="196" t="str">
        <f>_xlfn.XLOOKUP(B368,Tabela6[Nome Completo],Tabela6[Empresa/Equipe],"",0)</f>
        <v/>
      </c>
      <c r="X368" s="197"/>
      <c r="Y368" s="197"/>
      <c r="Z368" s="197"/>
      <c r="AA368" s="197"/>
      <c r="AB368" s="197"/>
      <c r="AC368" s="197"/>
      <c r="AD368" s="198"/>
      <c r="AE368" s="201" t="str">
        <f>_xlfn.XLOOKUP(B368,Tabela6[Nome Completo],Tabela6[Matrícula SAP/ Documento],"",0)</f>
        <v/>
      </c>
      <c r="AF368" s="201"/>
      <c r="AG368" s="201"/>
      <c r="AH368" s="201"/>
      <c r="AI368" s="201"/>
      <c r="AJ368" s="201"/>
      <c r="AK368" s="201"/>
      <c r="AL368" s="217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</row>
    <row r="369" spans="2:51" ht="19.5" x14ac:dyDescent="0.2">
      <c r="B369" s="193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5"/>
      <c r="W369" s="196" t="str">
        <f>_xlfn.XLOOKUP(B369,Tabela6[Nome Completo],Tabela6[Empresa/Equipe],"",0)</f>
        <v/>
      </c>
      <c r="X369" s="197"/>
      <c r="Y369" s="197"/>
      <c r="Z369" s="197"/>
      <c r="AA369" s="197"/>
      <c r="AB369" s="197"/>
      <c r="AC369" s="197"/>
      <c r="AD369" s="198"/>
      <c r="AE369" s="201" t="str">
        <f>_xlfn.XLOOKUP(B369,Tabela6[Nome Completo],Tabela6[Matrícula SAP/ Documento],"",0)</f>
        <v/>
      </c>
      <c r="AF369" s="201"/>
      <c r="AG369" s="201"/>
      <c r="AH369" s="201"/>
      <c r="AI369" s="201"/>
      <c r="AJ369" s="201"/>
      <c r="AK369" s="201"/>
      <c r="AL369" s="217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</row>
    <row r="370" spans="2:51" ht="19.5" x14ac:dyDescent="0.2">
      <c r="B370" s="193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5"/>
      <c r="W370" s="196" t="str">
        <f>_xlfn.XLOOKUP(B370,Tabela6[Nome Completo],Tabela6[Empresa/Equipe],"",0)</f>
        <v/>
      </c>
      <c r="X370" s="197"/>
      <c r="Y370" s="197"/>
      <c r="Z370" s="197"/>
      <c r="AA370" s="197"/>
      <c r="AB370" s="197"/>
      <c r="AC370" s="197"/>
      <c r="AD370" s="198"/>
      <c r="AE370" s="201" t="str">
        <f>_xlfn.XLOOKUP(B370,Tabela6[Nome Completo],Tabela6[Matrícula SAP/ Documento],"",0)</f>
        <v/>
      </c>
      <c r="AF370" s="201"/>
      <c r="AG370" s="201"/>
      <c r="AH370" s="201"/>
      <c r="AI370" s="201"/>
      <c r="AJ370" s="201"/>
      <c r="AK370" s="201"/>
      <c r="AL370" s="217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</row>
    <row r="371" spans="2:51" ht="19.5" x14ac:dyDescent="0.2">
      <c r="B371" s="193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5"/>
      <c r="W371" s="196" t="str">
        <f>_xlfn.XLOOKUP(B371,Tabela6[Nome Completo],Tabela6[Empresa/Equipe],"",0)</f>
        <v/>
      </c>
      <c r="X371" s="197"/>
      <c r="Y371" s="197"/>
      <c r="Z371" s="197"/>
      <c r="AA371" s="197"/>
      <c r="AB371" s="197"/>
      <c r="AC371" s="197"/>
      <c r="AD371" s="198"/>
      <c r="AE371" s="201" t="str">
        <f>_xlfn.XLOOKUP(B371,Tabela6[Nome Completo],Tabela6[Matrícula SAP/ Documento],"",0)</f>
        <v/>
      </c>
      <c r="AF371" s="201"/>
      <c r="AG371" s="201"/>
      <c r="AH371" s="201"/>
      <c r="AI371" s="201"/>
      <c r="AJ371" s="201"/>
      <c r="AK371" s="201"/>
      <c r="AL371" s="217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</row>
    <row r="372" spans="2:51" ht="19.5" x14ac:dyDescent="0.2">
      <c r="B372" s="193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5"/>
      <c r="W372" s="196" t="str">
        <f>_xlfn.XLOOKUP(B372,Tabela6[Nome Completo],Tabela6[Empresa/Equipe],"",0)</f>
        <v/>
      </c>
      <c r="X372" s="197"/>
      <c r="Y372" s="197"/>
      <c r="Z372" s="197"/>
      <c r="AA372" s="197"/>
      <c r="AB372" s="197"/>
      <c r="AC372" s="197"/>
      <c r="AD372" s="198"/>
      <c r="AE372" s="201" t="str">
        <f>_xlfn.XLOOKUP(B372,Tabela6[Nome Completo],Tabela6[Matrícula SAP/ Documento],"",0)</f>
        <v/>
      </c>
      <c r="AF372" s="201"/>
      <c r="AG372" s="201"/>
      <c r="AH372" s="201"/>
      <c r="AI372" s="201"/>
      <c r="AJ372" s="201"/>
      <c r="AK372" s="201"/>
      <c r="AL372" s="217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</row>
    <row r="373" spans="2:51" ht="19.5" x14ac:dyDescent="0.2">
      <c r="B373" s="193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5"/>
      <c r="W373" s="196" t="str">
        <f>_xlfn.XLOOKUP(B373,Tabela6[Nome Completo],Tabela6[Empresa/Equipe],"",0)</f>
        <v/>
      </c>
      <c r="X373" s="197"/>
      <c r="Y373" s="197"/>
      <c r="Z373" s="197"/>
      <c r="AA373" s="197"/>
      <c r="AB373" s="197"/>
      <c r="AC373" s="197"/>
      <c r="AD373" s="198"/>
      <c r="AE373" s="201" t="str">
        <f>_xlfn.XLOOKUP(B373,Tabela6[Nome Completo],Tabela6[Matrícula SAP/ Documento],"",0)</f>
        <v/>
      </c>
      <c r="AF373" s="201"/>
      <c r="AG373" s="201"/>
      <c r="AH373" s="201"/>
      <c r="AI373" s="201"/>
      <c r="AJ373" s="201"/>
      <c r="AK373" s="201"/>
      <c r="AL373" s="217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</row>
    <row r="374" spans="2:51" ht="19.5" x14ac:dyDescent="0.2">
      <c r="B374" s="193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5"/>
      <c r="W374" s="196" t="str">
        <f>_xlfn.XLOOKUP(B374,Tabela6[Nome Completo],Tabela6[Empresa/Equipe],"",0)</f>
        <v/>
      </c>
      <c r="X374" s="197"/>
      <c r="Y374" s="197"/>
      <c r="Z374" s="197"/>
      <c r="AA374" s="197"/>
      <c r="AB374" s="197"/>
      <c r="AC374" s="197"/>
      <c r="AD374" s="198"/>
      <c r="AE374" s="201" t="str">
        <f>_xlfn.XLOOKUP(B374,Tabela6[Nome Completo],Tabela6[Matrícula SAP/ Documento],"",0)</f>
        <v/>
      </c>
      <c r="AF374" s="201"/>
      <c r="AG374" s="201"/>
      <c r="AH374" s="201"/>
      <c r="AI374" s="201"/>
      <c r="AJ374" s="201"/>
      <c r="AK374" s="201"/>
      <c r="AL374" s="217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</row>
    <row r="375" spans="2:51" ht="19.5" x14ac:dyDescent="0.2">
      <c r="B375" s="193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5"/>
      <c r="W375" s="196" t="str">
        <f>_xlfn.XLOOKUP(B375,Tabela6[Nome Completo],Tabela6[Empresa/Equipe],"",0)</f>
        <v/>
      </c>
      <c r="X375" s="197"/>
      <c r="Y375" s="197"/>
      <c r="Z375" s="197"/>
      <c r="AA375" s="197"/>
      <c r="AB375" s="197"/>
      <c r="AC375" s="197"/>
      <c r="AD375" s="198"/>
      <c r="AE375" s="201" t="str">
        <f>_xlfn.XLOOKUP(B375,Tabela6[Nome Completo],Tabela6[Matrícula SAP/ Documento],"",0)</f>
        <v/>
      </c>
      <c r="AF375" s="201"/>
      <c r="AG375" s="201"/>
      <c r="AH375" s="201"/>
      <c r="AI375" s="201"/>
      <c r="AJ375" s="201"/>
      <c r="AK375" s="201"/>
      <c r="AL375" s="217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</row>
    <row r="376" spans="2:51" ht="19.5" x14ac:dyDescent="0.2">
      <c r="B376" s="193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5"/>
      <c r="W376" s="196" t="str">
        <f>_xlfn.XLOOKUP(B376,Tabela6[Nome Completo],Tabela6[Empresa/Equipe],"",0)</f>
        <v/>
      </c>
      <c r="X376" s="197"/>
      <c r="Y376" s="197"/>
      <c r="Z376" s="197"/>
      <c r="AA376" s="197"/>
      <c r="AB376" s="197"/>
      <c r="AC376" s="197"/>
      <c r="AD376" s="198"/>
      <c r="AE376" s="201" t="str">
        <f>_xlfn.XLOOKUP(B376,Tabela6[Nome Completo],Tabela6[Matrícula SAP/ Documento],"",0)</f>
        <v/>
      </c>
      <c r="AF376" s="201"/>
      <c r="AG376" s="201"/>
      <c r="AH376" s="201"/>
      <c r="AI376" s="201"/>
      <c r="AJ376" s="201"/>
      <c r="AK376" s="201"/>
      <c r="AL376" s="217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</row>
    <row r="377" spans="2:51" ht="19.5" x14ac:dyDescent="0.2">
      <c r="B377" s="193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5"/>
      <c r="W377" s="196" t="str">
        <f>_xlfn.XLOOKUP(B377,Tabela6[Nome Completo],Tabela6[Empresa/Equipe],"",0)</f>
        <v/>
      </c>
      <c r="X377" s="197"/>
      <c r="Y377" s="197"/>
      <c r="Z377" s="197"/>
      <c r="AA377" s="197"/>
      <c r="AB377" s="197"/>
      <c r="AC377" s="197"/>
      <c r="AD377" s="198"/>
      <c r="AE377" s="201" t="str">
        <f>_xlfn.XLOOKUP(B377,Tabela6[Nome Completo],Tabela6[Matrícula SAP/ Documento],"",0)</f>
        <v/>
      </c>
      <c r="AF377" s="201"/>
      <c r="AG377" s="201"/>
      <c r="AH377" s="201"/>
      <c r="AI377" s="201"/>
      <c r="AJ377" s="201"/>
      <c r="AK377" s="201"/>
      <c r="AL377" s="217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</row>
    <row r="378" spans="2:51" ht="19.5" x14ac:dyDescent="0.2">
      <c r="B378" s="193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5"/>
      <c r="W378" s="196" t="str">
        <f>_xlfn.XLOOKUP(B378,Tabela6[Nome Completo],Tabela6[Empresa/Equipe],"",0)</f>
        <v/>
      </c>
      <c r="X378" s="197"/>
      <c r="Y378" s="197"/>
      <c r="Z378" s="197"/>
      <c r="AA378" s="197"/>
      <c r="AB378" s="197"/>
      <c r="AC378" s="197"/>
      <c r="AD378" s="198"/>
      <c r="AE378" s="201" t="str">
        <f>_xlfn.XLOOKUP(B378,Tabela6[Nome Completo],Tabela6[Matrícula SAP/ Documento],"",0)</f>
        <v/>
      </c>
      <c r="AF378" s="201"/>
      <c r="AG378" s="201"/>
      <c r="AH378" s="201"/>
      <c r="AI378" s="201"/>
      <c r="AJ378" s="201"/>
      <c r="AK378" s="201"/>
      <c r="AL378" s="217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</row>
    <row r="379" spans="2:51" ht="19.5" x14ac:dyDescent="0.2">
      <c r="B379" s="193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5"/>
      <c r="W379" s="196" t="str">
        <f>_xlfn.XLOOKUP(B379,Tabela6[Nome Completo],Tabela6[Empresa/Equipe],"",0)</f>
        <v/>
      </c>
      <c r="X379" s="197"/>
      <c r="Y379" s="197"/>
      <c r="Z379" s="197"/>
      <c r="AA379" s="197"/>
      <c r="AB379" s="197"/>
      <c r="AC379" s="197"/>
      <c r="AD379" s="198"/>
      <c r="AE379" s="201" t="str">
        <f>_xlfn.XLOOKUP(B379,Tabela6[Nome Completo],Tabela6[Matrícula SAP/ Documento],"",0)</f>
        <v/>
      </c>
      <c r="AF379" s="201"/>
      <c r="AG379" s="201"/>
      <c r="AH379" s="201"/>
      <c r="AI379" s="201"/>
      <c r="AJ379" s="201"/>
      <c r="AK379" s="201"/>
      <c r="AL379" s="217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</row>
    <row r="380" spans="2:51" ht="19.5" x14ac:dyDescent="0.2">
      <c r="B380" s="193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5"/>
      <c r="W380" s="196" t="str">
        <f>_xlfn.XLOOKUP(B380,Tabela6[Nome Completo],Tabela6[Empresa/Equipe],"",0)</f>
        <v/>
      </c>
      <c r="X380" s="197"/>
      <c r="Y380" s="197"/>
      <c r="Z380" s="197"/>
      <c r="AA380" s="197"/>
      <c r="AB380" s="197"/>
      <c r="AC380" s="197"/>
      <c r="AD380" s="198"/>
      <c r="AE380" s="201" t="str">
        <f>_xlfn.XLOOKUP(B380,Tabela6[Nome Completo],Tabela6[Matrícula SAP/ Documento],"",0)</f>
        <v/>
      </c>
      <c r="AF380" s="201"/>
      <c r="AG380" s="201"/>
      <c r="AH380" s="201"/>
      <c r="AI380" s="201"/>
      <c r="AJ380" s="201"/>
      <c r="AK380" s="201"/>
      <c r="AL380" s="217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</row>
    <row r="381" spans="2:51" ht="19.5" x14ac:dyDescent="0.2">
      <c r="B381" s="193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5"/>
      <c r="W381" s="196" t="str">
        <f>_xlfn.XLOOKUP(B381,Tabela6[Nome Completo],Tabela6[Empresa/Equipe],"",0)</f>
        <v/>
      </c>
      <c r="X381" s="197"/>
      <c r="Y381" s="197"/>
      <c r="Z381" s="197"/>
      <c r="AA381" s="197"/>
      <c r="AB381" s="197"/>
      <c r="AC381" s="197"/>
      <c r="AD381" s="198"/>
      <c r="AE381" s="201" t="str">
        <f>_xlfn.XLOOKUP(B381,Tabela6[Nome Completo],Tabela6[Matrícula SAP/ Documento],"",0)</f>
        <v/>
      </c>
      <c r="AF381" s="201"/>
      <c r="AG381" s="201"/>
      <c r="AH381" s="201"/>
      <c r="AI381" s="201"/>
      <c r="AJ381" s="201"/>
      <c r="AK381" s="201"/>
      <c r="AL381" s="217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</row>
    <row r="382" spans="2:51" ht="19.5" x14ac:dyDescent="0.2">
      <c r="B382" s="193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5"/>
      <c r="W382" s="196" t="str">
        <f>_xlfn.XLOOKUP(B382,Tabela6[Nome Completo],Tabela6[Empresa/Equipe],"",0)</f>
        <v/>
      </c>
      <c r="X382" s="197"/>
      <c r="Y382" s="197"/>
      <c r="Z382" s="197"/>
      <c r="AA382" s="197"/>
      <c r="AB382" s="197"/>
      <c r="AC382" s="197"/>
      <c r="AD382" s="198"/>
      <c r="AE382" s="201" t="str">
        <f>_xlfn.XLOOKUP(B382,Tabela6[Nome Completo],Tabela6[Matrícula SAP/ Documento],"",0)</f>
        <v/>
      </c>
      <c r="AF382" s="201"/>
      <c r="AG382" s="201"/>
      <c r="AH382" s="201"/>
      <c r="AI382" s="201"/>
      <c r="AJ382" s="201"/>
      <c r="AK382" s="201"/>
      <c r="AL382" s="217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</row>
    <row r="383" spans="2:51" ht="19.5" x14ac:dyDescent="0.2">
      <c r="B383" s="193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5"/>
      <c r="W383" s="196" t="str">
        <f>_xlfn.XLOOKUP(B383,Tabela6[Nome Completo],Tabela6[Empresa/Equipe],"",0)</f>
        <v/>
      </c>
      <c r="X383" s="197"/>
      <c r="Y383" s="197"/>
      <c r="Z383" s="197"/>
      <c r="AA383" s="197"/>
      <c r="AB383" s="197"/>
      <c r="AC383" s="197"/>
      <c r="AD383" s="198"/>
      <c r="AE383" s="201" t="str">
        <f>_xlfn.XLOOKUP(B383,Tabela6[Nome Completo],Tabela6[Matrícula SAP/ Documento],"",0)</f>
        <v/>
      </c>
      <c r="AF383" s="201"/>
      <c r="AG383" s="201"/>
      <c r="AH383" s="201"/>
      <c r="AI383" s="201"/>
      <c r="AJ383" s="201"/>
      <c r="AK383" s="201"/>
      <c r="AL383" s="217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</row>
    <row r="384" spans="2:51" ht="19.5" x14ac:dyDescent="0.2">
      <c r="B384" s="193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5"/>
      <c r="W384" s="196" t="str">
        <f>_xlfn.XLOOKUP(B384,Tabela6[Nome Completo],Tabela6[Empresa/Equipe],"",0)</f>
        <v/>
      </c>
      <c r="X384" s="197"/>
      <c r="Y384" s="197"/>
      <c r="Z384" s="197"/>
      <c r="AA384" s="197"/>
      <c r="AB384" s="197"/>
      <c r="AC384" s="197"/>
      <c r="AD384" s="198"/>
      <c r="AE384" s="201" t="str">
        <f>_xlfn.XLOOKUP(B384,Tabela6[Nome Completo],Tabela6[Matrícula SAP/ Documento],"",0)</f>
        <v/>
      </c>
      <c r="AF384" s="201"/>
      <c r="AG384" s="201"/>
      <c r="AH384" s="201"/>
      <c r="AI384" s="201"/>
      <c r="AJ384" s="201"/>
      <c r="AK384" s="201"/>
      <c r="AL384" s="217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</row>
    <row r="385" spans="2:51" ht="19.5" x14ac:dyDescent="0.2">
      <c r="B385" s="193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5"/>
      <c r="W385" s="196" t="str">
        <f>_xlfn.XLOOKUP(B385,Tabela6[Nome Completo],Tabela6[Empresa/Equipe],"",0)</f>
        <v/>
      </c>
      <c r="X385" s="197"/>
      <c r="Y385" s="197"/>
      <c r="Z385" s="197"/>
      <c r="AA385" s="197"/>
      <c r="AB385" s="197"/>
      <c r="AC385" s="197"/>
      <c r="AD385" s="198"/>
      <c r="AE385" s="201" t="str">
        <f>_xlfn.XLOOKUP(B385,Tabela6[Nome Completo],Tabela6[Matrícula SAP/ Documento],"",0)</f>
        <v/>
      </c>
      <c r="AF385" s="201"/>
      <c r="AG385" s="201"/>
      <c r="AH385" s="201"/>
      <c r="AI385" s="201"/>
      <c r="AJ385" s="201"/>
      <c r="AK385" s="201"/>
      <c r="AL385" s="217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</row>
    <row r="386" spans="2:51" ht="19.5" x14ac:dyDescent="0.2">
      <c r="B386" s="193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5"/>
      <c r="W386" s="196" t="str">
        <f>_xlfn.XLOOKUP(B386,Tabela6[Nome Completo],Tabela6[Empresa/Equipe],"",0)</f>
        <v/>
      </c>
      <c r="X386" s="197"/>
      <c r="Y386" s="197"/>
      <c r="Z386" s="197"/>
      <c r="AA386" s="197"/>
      <c r="AB386" s="197"/>
      <c r="AC386" s="197"/>
      <c r="AD386" s="198"/>
      <c r="AE386" s="201" t="str">
        <f>_xlfn.XLOOKUP(B386,Tabela6[Nome Completo],Tabela6[Matrícula SAP/ Documento],"",0)</f>
        <v/>
      </c>
      <c r="AF386" s="201"/>
      <c r="AG386" s="201"/>
      <c r="AH386" s="201"/>
      <c r="AI386" s="201"/>
      <c r="AJ386" s="201"/>
      <c r="AK386" s="201"/>
      <c r="AL386" s="217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</row>
    <row r="387" spans="2:51" ht="19.5" x14ac:dyDescent="0.2">
      <c r="B387" s="193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5"/>
      <c r="W387" s="196" t="str">
        <f>_xlfn.XLOOKUP(B387,Tabela6[Nome Completo],Tabela6[Empresa/Equipe],"",0)</f>
        <v/>
      </c>
      <c r="X387" s="197"/>
      <c r="Y387" s="197"/>
      <c r="Z387" s="197"/>
      <c r="AA387" s="197"/>
      <c r="AB387" s="197"/>
      <c r="AC387" s="197"/>
      <c r="AD387" s="198"/>
      <c r="AE387" s="201" t="str">
        <f>_xlfn.XLOOKUP(B387,Tabela6[Nome Completo],Tabela6[Matrícula SAP/ Documento],"",0)</f>
        <v/>
      </c>
      <c r="AF387" s="201"/>
      <c r="AG387" s="201"/>
      <c r="AH387" s="201"/>
      <c r="AI387" s="201"/>
      <c r="AJ387" s="201"/>
      <c r="AK387" s="201"/>
      <c r="AL387" s="217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</row>
    <row r="388" spans="2:51" ht="15" customHeight="1" x14ac:dyDescent="0.2">
      <c r="B388" s="199" t="s">
        <v>243</v>
      </c>
      <c r="C388" s="199"/>
      <c r="D388" s="199"/>
      <c r="E388" s="318" t="s">
        <v>244</v>
      </c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22"/>
    </row>
    <row r="389" spans="2:51" ht="15" x14ac:dyDescent="0.2">
      <c r="B389" s="200"/>
      <c r="C389" s="200"/>
      <c r="D389" s="200"/>
      <c r="E389" s="317" t="s">
        <v>245</v>
      </c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  <c r="AI389" s="317"/>
      <c r="AJ389" s="317"/>
      <c r="AK389" s="317"/>
      <c r="AL389" s="317"/>
      <c r="AM389" s="317"/>
      <c r="AN389" s="317"/>
      <c r="AO389" s="317"/>
      <c r="AP389" s="317"/>
      <c r="AQ389" s="317"/>
      <c r="AR389" s="317"/>
      <c r="AS389" s="317"/>
      <c r="AT389" s="317"/>
      <c r="AU389" s="317"/>
      <c r="AV389" s="317"/>
      <c r="AW389" s="317"/>
      <c r="AX389" s="317"/>
      <c r="AY389" s="22"/>
    </row>
    <row r="390" spans="2:51" ht="15" x14ac:dyDescent="0.2">
      <c r="B390" s="200"/>
      <c r="C390" s="200"/>
      <c r="D390" s="200"/>
      <c r="E390" s="317" t="s">
        <v>246</v>
      </c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  <c r="AI390" s="317"/>
      <c r="AJ390" s="317"/>
      <c r="AK390" s="317"/>
      <c r="AL390" s="317"/>
      <c r="AM390" s="317"/>
      <c r="AN390" s="317"/>
      <c r="AO390" s="317"/>
      <c r="AP390" s="317"/>
      <c r="AQ390" s="317"/>
      <c r="AR390" s="317"/>
      <c r="AS390" s="317"/>
      <c r="AT390" s="317"/>
      <c r="AU390" s="317"/>
      <c r="AV390" s="317"/>
      <c r="AW390" s="317"/>
      <c r="AX390" s="317"/>
      <c r="AY390" s="22"/>
    </row>
    <row r="391" spans="2:51" x14ac:dyDescent="0.2">
      <c r="D391" s="23"/>
    </row>
    <row r="393" spans="2:51" x14ac:dyDescent="0.2">
      <c r="B393" s="24"/>
      <c r="C393" s="4"/>
    </row>
  </sheetData>
  <sheetProtection sheet="1" formatCells="0" formatRows="0" insertRows="0" deleteRows="0"/>
  <mergeCells count="754">
    <mergeCell ref="AG12:AM12"/>
    <mergeCell ref="AN12:AQ12"/>
    <mergeCell ref="AR12:AY12"/>
    <mergeCell ref="AD107:AY107"/>
    <mergeCell ref="AA99:AC99"/>
    <mergeCell ref="AD99:AY99"/>
    <mergeCell ref="AA100:AC100"/>
    <mergeCell ref="AD100:AY100"/>
    <mergeCell ref="AA98:AC98"/>
    <mergeCell ref="AD98:AY98"/>
    <mergeCell ref="AA97:AC97"/>
    <mergeCell ref="AD97:AY97"/>
    <mergeCell ref="AA101:AC101"/>
    <mergeCell ref="AD101:AY101"/>
    <mergeCell ref="AQ13:AY13"/>
    <mergeCell ref="AD90:AY90"/>
    <mergeCell ref="AA91:AC91"/>
    <mergeCell ref="AD91:AY91"/>
    <mergeCell ref="AA89:AC89"/>
    <mergeCell ref="AD89:AY89"/>
    <mergeCell ref="AA90:AC90"/>
    <mergeCell ref="AD96:AY96"/>
    <mergeCell ref="AA88:AC88"/>
    <mergeCell ref="AD88:AY88"/>
    <mergeCell ref="AO2:AR3"/>
    <mergeCell ref="AO4:AR4"/>
    <mergeCell ref="AS4:AY4"/>
    <mergeCell ref="I2:AN2"/>
    <mergeCell ref="I3:AN4"/>
    <mergeCell ref="AA81:AC81"/>
    <mergeCell ref="AD81:AY81"/>
    <mergeCell ref="AA79:AC79"/>
    <mergeCell ref="AD79:AY79"/>
    <mergeCell ref="AA78:AC78"/>
    <mergeCell ref="AD78:AY78"/>
    <mergeCell ref="H13:M13"/>
    <mergeCell ref="R13:W13"/>
    <mergeCell ref="N13:P13"/>
    <mergeCell ref="X13:Z13"/>
    <mergeCell ref="I52:AY52"/>
    <mergeCell ref="I43:AY43"/>
    <mergeCell ref="I44:AY44"/>
    <mergeCell ref="I45:AY45"/>
    <mergeCell ref="I46:AY46"/>
    <mergeCell ref="H9:Z9"/>
    <mergeCell ref="H11:Z11"/>
    <mergeCell ref="AG8:AM8"/>
    <mergeCell ref="B2:H4"/>
    <mergeCell ref="B90:D90"/>
    <mergeCell ref="E90:Z90"/>
    <mergeCell ref="E110:Z110"/>
    <mergeCell ref="B103:D103"/>
    <mergeCell ref="E103:Z103"/>
    <mergeCell ref="B87:D87"/>
    <mergeCell ref="E87:Z87"/>
    <mergeCell ref="B95:D95"/>
    <mergeCell ref="E95:Z95"/>
    <mergeCell ref="B88:D88"/>
    <mergeCell ref="AA110:AC110"/>
    <mergeCell ref="B101:D101"/>
    <mergeCell ref="E101:Z101"/>
    <mergeCell ref="B102:D102"/>
    <mergeCell ref="E102:Z102"/>
    <mergeCell ref="B98:D98"/>
    <mergeCell ref="E98:Z98"/>
    <mergeCell ref="B93:D93"/>
    <mergeCell ref="B94:D94"/>
    <mergeCell ref="AA94:AC94"/>
    <mergeCell ref="AA96:AC96"/>
    <mergeCell ref="AA107:AC107"/>
    <mergeCell ref="B104:D104"/>
    <mergeCell ref="E104:Z104"/>
    <mergeCell ref="AD110:AY110"/>
    <mergeCell ref="AA108:AC108"/>
    <mergeCell ref="AD108:AY108"/>
    <mergeCell ref="AA109:AC109"/>
    <mergeCell ref="AD109:AY109"/>
    <mergeCell ref="B109:D109"/>
    <mergeCell ref="AA103:AC103"/>
    <mergeCell ref="AD103:AY103"/>
    <mergeCell ref="AA104:AC104"/>
    <mergeCell ref="B105:D105"/>
    <mergeCell ref="E105:Z105"/>
    <mergeCell ref="B106:D106"/>
    <mergeCell ref="E106:Z106"/>
    <mergeCell ref="B107:D107"/>
    <mergeCell ref="E107:Z107"/>
    <mergeCell ref="B108:D108"/>
    <mergeCell ref="E108:Z108"/>
    <mergeCell ref="E109:Z109"/>
    <mergeCell ref="AA106:AC106"/>
    <mergeCell ref="AD106:AY106"/>
    <mergeCell ref="AD104:AY104"/>
    <mergeCell ref="AA105:AC105"/>
    <mergeCell ref="AD105:AY105"/>
    <mergeCell ref="B110:D110"/>
    <mergeCell ref="B85:D85"/>
    <mergeCell ref="E85:Z85"/>
    <mergeCell ref="AA80:AC80"/>
    <mergeCell ref="AD80:AY80"/>
    <mergeCell ref="AA83:AC83"/>
    <mergeCell ref="AD83:AY83"/>
    <mergeCell ref="B86:D86"/>
    <mergeCell ref="E86:Z86"/>
    <mergeCell ref="AA84:AC84"/>
    <mergeCell ref="AD84:AY84"/>
    <mergeCell ref="AA82:AC82"/>
    <mergeCell ref="AD82:AY82"/>
    <mergeCell ref="B84:D84"/>
    <mergeCell ref="E84:Z84"/>
    <mergeCell ref="B83:D83"/>
    <mergeCell ref="E83:Z83"/>
    <mergeCell ref="AA85:AC85"/>
    <mergeCell ref="AD85:AY85"/>
    <mergeCell ref="AA87:AC87"/>
    <mergeCell ref="AD87:AY87"/>
    <mergeCell ref="B100:D100"/>
    <mergeCell ref="E100:Z100"/>
    <mergeCell ref="E93:Z93"/>
    <mergeCell ref="E94:Z94"/>
    <mergeCell ref="AA86:AC86"/>
    <mergeCell ref="AD86:AY86"/>
    <mergeCell ref="B92:D92"/>
    <mergeCell ref="E92:Z92"/>
    <mergeCell ref="AA92:AC92"/>
    <mergeCell ref="AD92:AY92"/>
    <mergeCell ref="AA93:AC93"/>
    <mergeCell ref="AD93:AY93"/>
    <mergeCell ref="B96:D96"/>
    <mergeCell ref="E96:Z96"/>
    <mergeCell ref="B99:D99"/>
    <mergeCell ref="B97:D97"/>
    <mergeCell ref="E97:Z97"/>
    <mergeCell ref="AD94:AY94"/>
    <mergeCell ref="AA95:AC95"/>
    <mergeCell ref="AD95:AY95"/>
    <mergeCell ref="B89:D89"/>
    <mergeCell ref="E89:Z89"/>
    <mergeCell ref="E390:AX390"/>
    <mergeCell ref="E389:AX389"/>
    <mergeCell ref="E388:AX388"/>
    <mergeCell ref="B385:V385"/>
    <mergeCell ref="B384:V384"/>
    <mergeCell ref="B383:V383"/>
    <mergeCell ref="B382:V382"/>
    <mergeCell ref="W376:AD376"/>
    <mergeCell ref="W371:AD371"/>
    <mergeCell ref="B371:V371"/>
    <mergeCell ref="B374:V374"/>
    <mergeCell ref="W374:AD374"/>
    <mergeCell ref="AE374:AK374"/>
    <mergeCell ref="AL374:AR374"/>
    <mergeCell ref="AS374:AY374"/>
    <mergeCell ref="B375:V375"/>
    <mergeCell ref="W375:AD375"/>
    <mergeCell ref="AE375:AK375"/>
    <mergeCell ref="AL375:AR375"/>
    <mergeCell ref="AS375:AY375"/>
    <mergeCell ref="B372:V372"/>
    <mergeCell ref="W372:AD372"/>
    <mergeCell ref="AE372:AK372"/>
    <mergeCell ref="AL372:AR372"/>
    <mergeCell ref="B345:C345"/>
    <mergeCell ref="D345:J345"/>
    <mergeCell ref="K345:AS345"/>
    <mergeCell ref="AT345:AY345"/>
    <mergeCell ref="B343:C343"/>
    <mergeCell ref="D343:J343"/>
    <mergeCell ref="K343:AS343"/>
    <mergeCell ref="AT343:AY343"/>
    <mergeCell ref="B118:C118"/>
    <mergeCell ref="D118:J118"/>
    <mergeCell ref="K118:AS118"/>
    <mergeCell ref="B119:C119"/>
    <mergeCell ref="D119:J119"/>
    <mergeCell ref="B120:C120"/>
    <mergeCell ref="D120:J120"/>
    <mergeCell ref="K291:AS291"/>
    <mergeCell ref="K292:AS292"/>
    <mergeCell ref="K293:AS293"/>
    <mergeCell ref="K294:AS294"/>
    <mergeCell ref="K258:AS258"/>
    <mergeCell ref="K336:AS336"/>
    <mergeCell ref="K337:AS337"/>
    <mergeCell ref="K339:AS339"/>
    <mergeCell ref="K295:AS295"/>
    <mergeCell ref="AT116:AY116"/>
    <mergeCell ref="AT117:AY117"/>
    <mergeCell ref="AT118:AY118"/>
    <mergeCell ref="AT119:AY119"/>
    <mergeCell ref="W370:AD370"/>
    <mergeCell ref="K119:AS119"/>
    <mergeCell ref="K120:AS120"/>
    <mergeCell ref="AT120:AY120"/>
    <mergeCell ref="K326:AS326"/>
    <mergeCell ref="K327:AS327"/>
    <mergeCell ref="K283:AS283"/>
    <mergeCell ref="K284:AS284"/>
    <mergeCell ref="K285:AS285"/>
    <mergeCell ref="K286:AS286"/>
    <mergeCell ref="K287:AS287"/>
    <mergeCell ref="K288:AS288"/>
    <mergeCell ref="K289:AS289"/>
    <mergeCell ref="K290:AS290"/>
    <mergeCell ref="B370:V370"/>
    <mergeCell ref="W369:AD369"/>
    <mergeCell ref="B369:V369"/>
    <mergeCell ref="K333:AS333"/>
    <mergeCell ref="K334:AS334"/>
    <mergeCell ref="K335:AS335"/>
    <mergeCell ref="AT121:AY121"/>
    <mergeCell ref="AT122:AY122"/>
    <mergeCell ref="K194:AS194"/>
    <mergeCell ref="K195:AS195"/>
    <mergeCell ref="K190:AS190"/>
    <mergeCell ref="K191:AS191"/>
    <mergeCell ref="K192:AS192"/>
    <mergeCell ref="K193:AS193"/>
    <mergeCell ref="K296:AS296"/>
    <mergeCell ref="K144:AS144"/>
    <mergeCell ref="K145:AS145"/>
    <mergeCell ref="K146:AS146"/>
    <mergeCell ref="K147:AS147"/>
    <mergeCell ref="K148:AS148"/>
    <mergeCell ref="K149:AS149"/>
    <mergeCell ref="K150:AS150"/>
    <mergeCell ref="K151:AS151"/>
    <mergeCell ref="K152:AS152"/>
    <mergeCell ref="K180:AS180"/>
    <mergeCell ref="K181:AS181"/>
    <mergeCell ref="K182:AS182"/>
    <mergeCell ref="K183:AS183"/>
    <mergeCell ref="K184:AS184"/>
    <mergeCell ref="K153:AS153"/>
    <mergeCell ref="K297:AS297"/>
    <mergeCell ref="K298:AS298"/>
    <mergeCell ref="K241:AS241"/>
    <mergeCell ref="K242:AS242"/>
    <mergeCell ref="K243:AS243"/>
    <mergeCell ref="K244:AS244"/>
    <mergeCell ref="K245:AS245"/>
    <mergeCell ref="K246:AS246"/>
    <mergeCell ref="K247:AS247"/>
    <mergeCell ref="K248:AS248"/>
    <mergeCell ref="K249:AS249"/>
    <mergeCell ref="K250:AS250"/>
    <mergeCell ref="K251:AS251"/>
    <mergeCell ref="K252:AS252"/>
    <mergeCell ref="K253:AS253"/>
    <mergeCell ref="K254:AS254"/>
    <mergeCell ref="K255:AS255"/>
    <mergeCell ref="K256:AS256"/>
    <mergeCell ref="K257:AS257"/>
    <mergeCell ref="K278:AS278"/>
    <mergeCell ref="K279:AS279"/>
    <mergeCell ref="K280:AS280"/>
    <mergeCell ref="K281:AS281"/>
    <mergeCell ref="K282:AS282"/>
    <mergeCell ref="K315:AS315"/>
    <mergeCell ref="K316:AS316"/>
    <mergeCell ref="K305:AS305"/>
    <mergeCell ref="K306:AS306"/>
    <mergeCell ref="K307:AS307"/>
    <mergeCell ref="K308:AS308"/>
    <mergeCell ref="K309:AS309"/>
    <mergeCell ref="K310:AS310"/>
    <mergeCell ref="K311:AS311"/>
    <mergeCell ref="K312:AS312"/>
    <mergeCell ref="K154:AS154"/>
    <mergeCell ref="K155:AS155"/>
    <mergeCell ref="K156:AS156"/>
    <mergeCell ref="K157:AS157"/>
    <mergeCell ref="K158:AS158"/>
    <mergeCell ref="K159:AS159"/>
    <mergeCell ref="K160:AS160"/>
    <mergeCell ref="K161:AS161"/>
    <mergeCell ref="K166:AS166"/>
    <mergeCell ref="K167:AS167"/>
    <mergeCell ref="K168:AS168"/>
    <mergeCell ref="K169:AS169"/>
    <mergeCell ref="K170:AS170"/>
    <mergeCell ref="K218:AS218"/>
    <mergeCell ref="K211:AS211"/>
    <mergeCell ref="K212:AS212"/>
    <mergeCell ref="K213:AS213"/>
    <mergeCell ref="K214:AS214"/>
    <mergeCell ref="K215:AS215"/>
    <mergeCell ref="K216:AS216"/>
    <mergeCell ref="K217:AS217"/>
    <mergeCell ref="K200:AS200"/>
    <mergeCell ref="K201:AS201"/>
    <mergeCell ref="K202:AS202"/>
    <mergeCell ref="K203:AS203"/>
    <mergeCell ref="K204:AS204"/>
    <mergeCell ref="K205:AS205"/>
    <mergeCell ref="K206:AS206"/>
    <mergeCell ref="K207:AS207"/>
    <mergeCell ref="K208:AS208"/>
    <mergeCell ref="K198:AS198"/>
    <mergeCell ref="K219:AS219"/>
    <mergeCell ref="K220:AS220"/>
    <mergeCell ref="K221:AS221"/>
    <mergeCell ref="K222:AS222"/>
    <mergeCell ref="K162:AS162"/>
    <mergeCell ref="K163:AS163"/>
    <mergeCell ref="K164:AS164"/>
    <mergeCell ref="K165:AS165"/>
    <mergeCell ref="K185:AS185"/>
    <mergeCell ref="K186:AS186"/>
    <mergeCell ref="K187:AS187"/>
    <mergeCell ref="K188:AS188"/>
    <mergeCell ref="K189:AS189"/>
    <mergeCell ref="K171:AS171"/>
    <mergeCell ref="K172:AS172"/>
    <mergeCell ref="K173:AS173"/>
    <mergeCell ref="K174:AS174"/>
    <mergeCell ref="K175:AS175"/>
    <mergeCell ref="K176:AS176"/>
    <mergeCell ref="K177:AS177"/>
    <mergeCell ref="K178:AS178"/>
    <mergeCell ref="K179:AS179"/>
    <mergeCell ref="K209:AS209"/>
    <mergeCell ref="K210:AS210"/>
    <mergeCell ref="K328:AS328"/>
    <mergeCell ref="K329:AS329"/>
    <mergeCell ref="K330:AS330"/>
    <mergeCell ref="K331:AS331"/>
    <mergeCell ref="K332:AS332"/>
    <mergeCell ref="K317:AS317"/>
    <mergeCell ref="K318:AS318"/>
    <mergeCell ref="K319:AS319"/>
    <mergeCell ref="K320:AS320"/>
    <mergeCell ref="K321:AS321"/>
    <mergeCell ref="K322:AS322"/>
    <mergeCell ref="K323:AS323"/>
    <mergeCell ref="K324:AS324"/>
    <mergeCell ref="K325:AS325"/>
    <mergeCell ref="K301:AS301"/>
    <mergeCell ref="K302:AS302"/>
    <mergeCell ref="K303:AS303"/>
    <mergeCell ref="K304:AS304"/>
    <mergeCell ref="K313:AS313"/>
    <mergeCell ref="K314:AS314"/>
    <mergeCell ref="AS2:AY3"/>
    <mergeCell ref="AR8:AY8"/>
    <mergeCell ref="AR9:AY9"/>
    <mergeCell ref="AR11:AY11"/>
    <mergeCell ref="AN11:AQ11"/>
    <mergeCell ref="C33:AX33"/>
    <mergeCell ref="C34:AX34"/>
    <mergeCell ref="C35:AX35"/>
    <mergeCell ref="T40:AA40"/>
    <mergeCell ref="G36:S36"/>
    <mergeCell ref="G37:S37"/>
    <mergeCell ref="G38:S38"/>
    <mergeCell ref="G39:S39"/>
    <mergeCell ref="G40:S40"/>
    <mergeCell ref="AB36:AI36"/>
    <mergeCell ref="AB37:AI37"/>
    <mergeCell ref="K240:AS240"/>
    <mergeCell ref="K223:AS223"/>
    <mergeCell ref="AG10:AM10"/>
    <mergeCell ref="AN10:AQ10"/>
    <mergeCell ref="AR10:AY10"/>
    <mergeCell ref="AN9:AQ9"/>
    <mergeCell ref="AN8:AQ8"/>
    <mergeCell ref="B8:G8"/>
    <mergeCell ref="B9:G9"/>
    <mergeCell ref="K299:AS299"/>
    <mergeCell ref="K300:AS300"/>
    <mergeCell ref="K224:AS224"/>
    <mergeCell ref="K225:AS225"/>
    <mergeCell ref="K226:AS226"/>
    <mergeCell ref="K227:AS227"/>
    <mergeCell ref="K228:AS228"/>
    <mergeCell ref="K229:AS229"/>
    <mergeCell ref="K230:AS230"/>
    <mergeCell ref="K231:AS231"/>
    <mergeCell ref="K232:AS232"/>
    <mergeCell ref="K233:AS233"/>
    <mergeCell ref="K234:AS234"/>
    <mergeCell ref="K235:AS235"/>
    <mergeCell ref="K236:AS236"/>
    <mergeCell ref="K237:AS237"/>
    <mergeCell ref="K238:AS238"/>
    <mergeCell ref="B11:G11"/>
    <mergeCell ref="AA8:AF8"/>
    <mergeCell ref="AA9:AF9"/>
    <mergeCell ref="AA11:AF11"/>
    <mergeCell ref="H8:Z8"/>
    <mergeCell ref="B12:G12"/>
    <mergeCell ref="H12:Z12"/>
    <mergeCell ref="AA12:AF12"/>
    <mergeCell ref="B13:G13"/>
    <mergeCell ref="B10:G10"/>
    <mergeCell ref="H10:Z10"/>
    <mergeCell ref="AA10:AF10"/>
    <mergeCell ref="AB38:AI38"/>
    <mergeCell ref="AB39:AI39"/>
    <mergeCell ref="T36:AA36"/>
    <mergeCell ref="T37:AA37"/>
    <mergeCell ref="T38:AA38"/>
    <mergeCell ref="T39:AA39"/>
    <mergeCell ref="AB40:AI40"/>
    <mergeCell ref="H14:L14"/>
    <mergeCell ref="AA13:AF13"/>
    <mergeCell ref="AH13:AL13"/>
    <mergeCell ref="M14:R14"/>
    <mergeCell ref="BD45:BD48"/>
    <mergeCell ref="BD49:BD53"/>
    <mergeCell ref="BD54:BD59"/>
    <mergeCell ref="BD60:BD62"/>
    <mergeCell ref="BD68:BD71"/>
    <mergeCell ref="B45:H48"/>
    <mergeCell ref="B49:H53"/>
    <mergeCell ref="B54:H59"/>
    <mergeCell ref="B60:H62"/>
    <mergeCell ref="B68:H71"/>
    <mergeCell ref="I60:AY60"/>
    <mergeCell ref="I61:AY61"/>
    <mergeCell ref="I62:AY62"/>
    <mergeCell ref="I63:AY63"/>
    <mergeCell ref="I64:AY64"/>
    <mergeCell ref="I53:AY53"/>
    <mergeCell ref="I54:AY54"/>
    <mergeCell ref="I55:AY55"/>
    <mergeCell ref="I56:AY56"/>
    <mergeCell ref="I57:AY57"/>
    <mergeCell ref="I58:AY58"/>
    <mergeCell ref="I47:AY47"/>
    <mergeCell ref="I48:AY48"/>
    <mergeCell ref="I50:AY50"/>
    <mergeCell ref="B42:C42"/>
    <mergeCell ref="D42:AY42"/>
    <mergeCell ref="B6:C6"/>
    <mergeCell ref="D6:AY6"/>
    <mergeCell ref="B65:H65"/>
    <mergeCell ref="B66:H66"/>
    <mergeCell ref="B67:H67"/>
    <mergeCell ref="B63:H63"/>
    <mergeCell ref="B64:H64"/>
    <mergeCell ref="B43:H43"/>
    <mergeCell ref="B44:H44"/>
    <mergeCell ref="I65:AY65"/>
    <mergeCell ref="I66:AY66"/>
    <mergeCell ref="I67:AY67"/>
    <mergeCell ref="I59:AY59"/>
    <mergeCell ref="B25:AX25"/>
    <mergeCell ref="C26:AX26"/>
    <mergeCell ref="C27:AX27"/>
    <mergeCell ref="C28:AX28"/>
    <mergeCell ref="C29:AX29"/>
    <mergeCell ref="C30:AX30"/>
    <mergeCell ref="C31:AX31"/>
    <mergeCell ref="C32:AX32"/>
    <mergeCell ref="AN13:AP13"/>
    <mergeCell ref="B78:D78"/>
    <mergeCell ref="E78:Z78"/>
    <mergeCell ref="B72:H72"/>
    <mergeCell ref="B73:H73"/>
    <mergeCell ref="I71:AY71"/>
    <mergeCell ref="I72:AY72"/>
    <mergeCell ref="I73:AY73"/>
    <mergeCell ref="I68:AY68"/>
    <mergeCell ref="I69:AY69"/>
    <mergeCell ref="I70:AY70"/>
    <mergeCell ref="B75:C75"/>
    <mergeCell ref="D75:AY75"/>
    <mergeCell ref="I51:AY51"/>
    <mergeCell ref="K143:AS143"/>
    <mergeCell ref="K141:AS141"/>
    <mergeCell ref="K196:AS196"/>
    <mergeCell ref="E77:Z77"/>
    <mergeCell ref="E88:Z88"/>
    <mergeCell ref="E79:Z79"/>
    <mergeCell ref="E80:Z80"/>
    <mergeCell ref="E81:Z81"/>
    <mergeCell ref="E82:Z82"/>
    <mergeCell ref="AA77:AC77"/>
    <mergeCell ref="D117:J117"/>
    <mergeCell ref="K117:AS117"/>
    <mergeCell ref="B79:D79"/>
    <mergeCell ref="B80:D80"/>
    <mergeCell ref="B81:D81"/>
    <mergeCell ref="B82:D82"/>
    <mergeCell ref="E99:Z99"/>
    <mergeCell ref="B91:D91"/>
    <mergeCell ref="E91:Z91"/>
    <mergeCell ref="AA102:AC102"/>
    <mergeCell ref="AD102:AY102"/>
    <mergeCell ref="AD77:AY77"/>
    <mergeCell ref="D114:J114"/>
    <mergeCell ref="K114:AS114"/>
    <mergeCell ref="K277:AS277"/>
    <mergeCell ref="K259:AS259"/>
    <mergeCell ref="K260:AS260"/>
    <mergeCell ref="K261:AS261"/>
    <mergeCell ref="K262:AS262"/>
    <mergeCell ref="K263:AS263"/>
    <mergeCell ref="K264:AS264"/>
    <mergeCell ref="K265:AS265"/>
    <mergeCell ref="K266:AS266"/>
    <mergeCell ref="K267:AS267"/>
    <mergeCell ref="K268:AS268"/>
    <mergeCell ref="K269:AS269"/>
    <mergeCell ref="K271:AS271"/>
    <mergeCell ref="K272:AS272"/>
    <mergeCell ref="K273:AS273"/>
    <mergeCell ref="K274:AS274"/>
    <mergeCell ref="K275:AS275"/>
    <mergeCell ref="K276:AS276"/>
    <mergeCell ref="K270:AS270"/>
    <mergeCell ref="K139:AS139"/>
    <mergeCell ref="K140:AS140"/>
    <mergeCell ref="K142:AS142"/>
    <mergeCell ref="K239:AS239"/>
    <mergeCell ref="B112:C112"/>
    <mergeCell ref="D112:AY112"/>
    <mergeCell ref="BD112:BF112"/>
    <mergeCell ref="AT346:AY346"/>
    <mergeCell ref="AT344:AY344"/>
    <mergeCell ref="AT124:AY342"/>
    <mergeCell ref="D115:J115"/>
    <mergeCell ref="B115:C115"/>
    <mergeCell ref="K125:AS125"/>
    <mergeCell ref="K344:AS344"/>
    <mergeCell ref="K346:AS346"/>
    <mergeCell ref="B344:C344"/>
    <mergeCell ref="D344:J344"/>
    <mergeCell ref="B346:C346"/>
    <mergeCell ref="D346:J346"/>
    <mergeCell ref="K340:AS340"/>
    <mergeCell ref="K341:AS341"/>
    <mergeCell ref="K342:AS342"/>
    <mergeCell ref="K135:AS135"/>
    <mergeCell ref="K338:AS338"/>
    <mergeCell ref="B121:C121"/>
    <mergeCell ref="D121:J121"/>
    <mergeCell ref="AT115:AY115"/>
    <mergeCell ref="B116:C116"/>
    <mergeCell ref="K122:AS122"/>
    <mergeCell ref="B123:C123"/>
    <mergeCell ref="D123:J123"/>
    <mergeCell ref="K123:AS123"/>
    <mergeCell ref="K132:AS132"/>
    <mergeCell ref="K133:AS133"/>
    <mergeCell ref="K134:AS134"/>
    <mergeCell ref="K131:AS131"/>
    <mergeCell ref="K124:AS124"/>
    <mergeCell ref="AT123:AY123"/>
    <mergeCell ref="D124:J342"/>
    <mergeCell ref="K197:AS197"/>
    <mergeCell ref="K127:AS127"/>
    <mergeCell ref="K128:AS128"/>
    <mergeCell ref="K129:AS129"/>
    <mergeCell ref="B14:G14"/>
    <mergeCell ref="B22:G24"/>
    <mergeCell ref="B16:G21"/>
    <mergeCell ref="B15:G15"/>
    <mergeCell ref="H20:AX20"/>
    <mergeCell ref="H21:AX21"/>
    <mergeCell ref="H22:AX22"/>
    <mergeCell ref="H23:AX23"/>
    <mergeCell ref="H24:AX24"/>
    <mergeCell ref="S14:AY14"/>
    <mergeCell ref="AT114:AY114"/>
    <mergeCell ref="B117:C117"/>
    <mergeCell ref="D116:J116"/>
    <mergeCell ref="K116:AS116"/>
    <mergeCell ref="B124:C342"/>
    <mergeCell ref="K126:AS126"/>
    <mergeCell ref="B122:C122"/>
    <mergeCell ref="D122:J122"/>
    <mergeCell ref="B348:C348"/>
    <mergeCell ref="D348:AY348"/>
    <mergeCell ref="AG9:AM9"/>
    <mergeCell ref="AG11:AM11"/>
    <mergeCell ref="H16:AX16"/>
    <mergeCell ref="H17:AX17"/>
    <mergeCell ref="H18:AX18"/>
    <mergeCell ref="H19:AX19"/>
    <mergeCell ref="H15:AX15"/>
    <mergeCell ref="B114:C114"/>
    <mergeCell ref="AJ36:AQ36"/>
    <mergeCell ref="AJ37:AQ37"/>
    <mergeCell ref="AJ38:AQ38"/>
    <mergeCell ref="AJ39:AQ39"/>
    <mergeCell ref="AJ40:AQ40"/>
    <mergeCell ref="K121:AS121"/>
    <mergeCell ref="K115:AS115"/>
    <mergeCell ref="K199:AS199"/>
    <mergeCell ref="K137:AS137"/>
    <mergeCell ref="K138:AS138"/>
    <mergeCell ref="K136:AS136"/>
    <mergeCell ref="I49:AY49"/>
    <mergeCell ref="B77:D77"/>
    <mergeCell ref="K130:AS130"/>
    <mergeCell ref="AL352:AR352"/>
    <mergeCell ref="AL353:AR353"/>
    <mergeCell ref="AL354:AR354"/>
    <mergeCell ref="AL355:AR355"/>
    <mergeCell ref="AL356:AR356"/>
    <mergeCell ref="AL386:AR386"/>
    <mergeCell ref="AL387:AR387"/>
    <mergeCell ref="AS350:AY352"/>
    <mergeCell ref="AS364:AY364"/>
    <mergeCell ref="AL366:AR366"/>
    <mergeCell ref="AS366:AY366"/>
    <mergeCell ref="AL367:AR367"/>
    <mergeCell ref="AS367:AY367"/>
    <mergeCell ref="AL368:AR368"/>
    <mergeCell ref="AS368:AY368"/>
    <mergeCell ref="AL369:AR369"/>
    <mergeCell ref="AS369:AY369"/>
    <mergeCell ref="AL370:AR370"/>
    <mergeCell ref="AS358:AY358"/>
    <mergeCell ref="AL380:AR380"/>
    <mergeCell ref="AS380:AY380"/>
    <mergeCell ref="AL381:AR381"/>
    <mergeCell ref="AS381:AY381"/>
    <mergeCell ref="AL379:AR379"/>
    <mergeCell ref="AS354:AY354"/>
    <mergeCell ref="AS355:AY355"/>
    <mergeCell ref="AS356:AY356"/>
    <mergeCell ref="AL359:AR359"/>
    <mergeCell ref="AS359:AY359"/>
    <mergeCell ref="AL360:AR360"/>
    <mergeCell ref="AS360:AY360"/>
    <mergeCell ref="AE355:AK355"/>
    <mergeCell ref="AE356:AK356"/>
    <mergeCell ref="AL357:AR357"/>
    <mergeCell ref="AS357:AY357"/>
    <mergeCell ref="AL358:AR358"/>
    <mergeCell ref="AE357:AK357"/>
    <mergeCell ref="AE358:AK358"/>
    <mergeCell ref="AE361:AK361"/>
    <mergeCell ref="AE362:AK362"/>
    <mergeCell ref="AE363:AK363"/>
    <mergeCell ref="AE359:AK359"/>
    <mergeCell ref="AE360:AK360"/>
    <mergeCell ref="AL384:AR384"/>
    <mergeCell ref="AS384:AY384"/>
    <mergeCell ref="AL382:AR382"/>
    <mergeCell ref="AS382:AY382"/>
    <mergeCell ref="AL383:AR383"/>
    <mergeCell ref="AS383:AY383"/>
    <mergeCell ref="AE382:AK382"/>
    <mergeCell ref="AE383:AK383"/>
    <mergeCell ref="AE384:AK384"/>
    <mergeCell ref="AS379:AY379"/>
    <mergeCell ref="AS370:AY370"/>
    <mergeCell ref="AL371:AR371"/>
    <mergeCell ref="AL362:AR362"/>
    <mergeCell ref="AS362:AY362"/>
    <mergeCell ref="AL363:AR363"/>
    <mergeCell ref="AS363:AY363"/>
    <mergeCell ref="AL364:AR364"/>
    <mergeCell ref="AS371:AY371"/>
    <mergeCell ref="W365:AD365"/>
    <mergeCell ref="AS386:AY386"/>
    <mergeCell ref="AS387:AY387"/>
    <mergeCell ref="AL385:AR385"/>
    <mergeCell ref="AS385:AY385"/>
    <mergeCell ref="AE385:AK385"/>
    <mergeCell ref="B387:V387"/>
    <mergeCell ref="B361:V361"/>
    <mergeCell ref="B362:V362"/>
    <mergeCell ref="B363:V363"/>
    <mergeCell ref="B364:V364"/>
    <mergeCell ref="B365:V365"/>
    <mergeCell ref="AE369:AK369"/>
    <mergeCell ref="AE370:AK370"/>
    <mergeCell ref="AE367:AK367"/>
    <mergeCell ref="W361:AD361"/>
    <mergeCell ref="W362:AD362"/>
    <mergeCell ref="W363:AD363"/>
    <mergeCell ref="AE368:AK368"/>
    <mergeCell ref="W368:AD368"/>
    <mergeCell ref="W373:AD373"/>
    <mergeCell ref="AE373:AK373"/>
    <mergeCell ref="W377:AD377"/>
    <mergeCell ref="W378:AD378"/>
    <mergeCell ref="B359:V359"/>
    <mergeCell ref="W364:AD364"/>
    <mergeCell ref="AL365:AR365"/>
    <mergeCell ref="AS365:AY365"/>
    <mergeCell ref="AE364:AK364"/>
    <mergeCell ref="AE365:AK365"/>
    <mergeCell ref="AE366:AK366"/>
    <mergeCell ref="AS353:AY353"/>
    <mergeCell ref="B386:V386"/>
    <mergeCell ref="AS372:AY372"/>
    <mergeCell ref="AL377:AR377"/>
    <mergeCell ref="AS377:AY377"/>
    <mergeCell ref="AL378:AR378"/>
    <mergeCell ref="AS378:AY378"/>
    <mergeCell ref="AL373:AR373"/>
    <mergeCell ref="AS373:AY373"/>
    <mergeCell ref="W353:AD353"/>
    <mergeCell ref="W354:AD354"/>
    <mergeCell ref="W355:AD355"/>
    <mergeCell ref="W356:AD356"/>
    <mergeCell ref="AL361:AR361"/>
    <mergeCell ref="AS361:AY361"/>
    <mergeCell ref="AL376:AR376"/>
    <mergeCell ref="AS376:AY376"/>
    <mergeCell ref="W386:AD386"/>
    <mergeCell ref="W387:AD387"/>
    <mergeCell ref="B377:V377"/>
    <mergeCell ref="B378:V378"/>
    <mergeCell ref="AL350:AR351"/>
    <mergeCell ref="AE353:AK353"/>
    <mergeCell ref="AE354:AK354"/>
    <mergeCell ref="W379:AD379"/>
    <mergeCell ref="W380:AD380"/>
    <mergeCell ref="AE371:AK371"/>
    <mergeCell ref="B373:V373"/>
    <mergeCell ref="W357:AD357"/>
    <mergeCell ref="W358:AD358"/>
    <mergeCell ref="W359:AD359"/>
    <mergeCell ref="W360:AD360"/>
    <mergeCell ref="AE350:AK352"/>
    <mergeCell ref="W350:AD352"/>
    <mergeCell ref="B350:V352"/>
    <mergeCell ref="B353:V353"/>
    <mergeCell ref="B354:V354"/>
    <mergeCell ref="B355:V355"/>
    <mergeCell ref="B356:V356"/>
    <mergeCell ref="B357:V357"/>
    <mergeCell ref="B358:V358"/>
    <mergeCell ref="B376:V376"/>
    <mergeCell ref="B360:V360"/>
    <mergeCell ref="B368:V368"/>
    <mergeCell ref="W367:AD367"/>
    <mergeCell ref="B367:V367"/>
    <mergeCell ref="W366:AD366"/>
    <mergeCell ref="B366:V366"/>
    <mergeCell ref="B388:D390"/>
    <mergeCell ref="AE386:AK386"/>
    <mergeCell ref="AE387:AK387"/>
    <mergeCell ref="B379:V379"/>
    <mergeCell ref="B380:V380"/>
    <mergeCell ref="B381:V381"/>
    <mergeCell ref="AE376:AK376"/>
    <mergeCell ref="AE377:AK377"/>
    <mergeCell ref="AE378:AK378"/>
    <mergeCell ref="AE379:AK379"/>
    <mergeCell ref="AE380:AK380"/>
    <mergeCell ref="AE381:AK381"/>
    <mergeCell ref="W381:AD381"/>
    <mergeCell ref="W382:AD382"/>
    <mergeCell ref="W383:AD383"/>
    <mergeCell ref="W384:AD384"/>
    <mergeCell ref="W385:AD385"/>
  </mergeCells>
  <printOptions horizontalCentered="1"/>
  <pageMargins left="0.31496062992125984" right="0.31496062992125984" top="0.31496062992125984" bottom="0.47244094488188981" header="0.19685039370078741" footer="0.19685039370078741"/>
  <pageSetup paperSize="9" scale="80" fitToHeight="0" orientation="portrait" r:id="rId1"/>
  <headerFooter>
    <oddFooter>&amp;L&amp;K0000FF&amp;A&amp;C&amp;K0000FFPágina &amp;P de &amp;N&amp;R&amp;K0000FFImpresso em: &amp;D &amp;T</oddFooter>
  </headerFooter>
  <rowBreaks count="1" manualBreakCount="1">
    <brk id="347" min="1" max="5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13E815-BDA1-454B-9037-FF5B7FA09A29}">
          <x14:formula1>
            <xm:f>Equipe!$A:$A</xm:f>
          </x14:formula1>
          <xm:sqref>B353:V387 H8:Z12</xm:sqref>
        </x14:dataValidation>
        <x14:dataValidation type="list" allowBlank="1" showInputMessage="1" showErrorMessage="1" xr:uid="{3FD2C4BA-4E35-44C4-9F00-B9C33FFC1B12}">
          <x14:formula1>
            <xm:f>Auxiliar!$H$3:$H$5</xm:f>
          </x14:formula1>
          <xm:sqref>AO2:AR3</xm:sqref>
        </x14:dataValidation>
        <x14:dataValidation type="list" allowBlank="1" showInputMessage="1" showErrorMessage="1" xr:uid="{E47E06EA-6BF4-44B2-B3E0-01EFD33BF892}">
          <x14:formula1>
            <xm:f>Auxiliar!$J$3:$J$5</xm:f>
          </x14:formula1>
          <xm:sqref>I73:AY73</xm:sqref>
        </x14:dataValidation>
        <x14:dataValidation type="list" allowBlank="1" showInputMessage="1" showErrorMessage="1" xr:uid="{093A7153-B616-49B0-9BA7-57EAA39331E4}">
          <x14:formula1>
            <xm:f>Auxiliar!$L$3:$L$42</xm:f>
          </x14:formula1>
          <xm:sqref>H14:L14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3147-BD26-4C70-AF89-54E68956E713}">
  <sheetPr codeName="Planilha2">
    <tabColor rgb="FF0066FF"/>
    <pageSetUpPr fitToPage="1"/>
  </sheetPr>
  <dimension ref="B1:R24"/>
  <sheetViews>
    <sheetView showGridLines="0" zoomScaleNormal="100" zoomScaleSheetLayoutView="70" workbookViewId="0">
      <selection activeCell="D3" sqref="D3:I4"/>
    </sheetView>
  </sheetViews>
  <sheetFormatPr defaultColWidth="15.42578125" defaultRowHeight="14.25" x14ac:dyDescent="0.25"/>
  <cols>
    <col min="1" max="1" width="1.42578125" style="90" customWidth="1"/>
    <col min="2" max="2" width="12.7109375" style="90" customWidth="1"/>
    <col min="3" max="3" width="17.85546875" style="91" customWidth="1"/>
    <col min="4" max="5" width="17.85546875" style="90" customWidth="1"/>
    <col min="6" max="6" width="17.85546875" style="91" customWidth="1"/>
    <col min="7" max="8" width="8.5703125" style="90" customWidth="1"/>
    <col min="9" max="9" width="16.28515625" style="90" customWidth="1"/>
    <col min="10" max="12" width="17.85546875" style="90" customWidth="1"/>
    <col min="13" max="13" width="17.85546875" style="91" customWidth="1"/>
    <col min="14" max="14" width="22.85546875" style="90" customWidth="1"/>
    <col min="15" max="16" width="8.5703125" style="90" customWidth="1"/>
    <col min="17" max="17" width="16.28515625" style="90" customWidth="1"/>
    <col min="18" max="18" width="17.85546875" style="90" customWidth="1"/>
    <col min="19" max="16384" width="15.42578125" style="90"/>
  </cols>
  <sheetData>
    <row r="1" spans="2:18" ht="7.5" customHeight="1" thickBot="1" x14ac:dyDescent="0.3"/>
    <row r="2" spans="2:18" ht="21" customHeight="1" thickTop="1" x14ac:dyDescent="0.2">
      <c r="B2" s="357"/>
      <c r="C2" s="358"/>
      <c r="D2" s="327" t="s">
        <v>247</v>
      </c>
      <c r="E2" s="328"/>
      <c r="F2" s="328"/>
      <c r="G2" s="328"/>
      <c r="H2" s="328"/>
      <c r="I2" s="328"/>
      <c r="J2" s="355" t="str">
        <f>PEX!AO2</f>
        <v>SI</v>
      </c>
      <c r="K2" s="353" t="str">
        <f>PEX!AS2</f>
        <v>00012345/25H</v>
      </c>
      <c r="M2" s="4"/>
      <c r="N2" s="4"/>
      <c r="Q2" s="2"/>
    </row>
    <row r="3" spans="2:18" ht="21" customHeight="1" thickBot="1" x14ac:dyDescent="0.25">
      <c r="B3" s="359"/>
      <c r="C3" s="360"/>
      <c r="D3" s="363" t="s">
        <v>248</v>
      </c>
      <c r="E3" s="364"/>
      <c r="F3" s="364"/>
      <c r="G3" s="364"/>
      <c r="H3" s="364"/>
      <c r="I3" s="364"/>
      <c r="J3" s="356"/>
      <c r="K3" s="354"/>
      <c r="M3" s="4"/>
      <c r="N3" s="4"/>
      <c r="Q3" s="2"/>
    </row>
    <row r="4" spans="2:18" ht="21" customHeight="1" thickTop="1" thickBot="1" x14ac:dyDescent="0.25">
      <c r="B4" s="361"/>
      <c r="C4" s="362"/>
      <c r="D4" s="365"/>
      <c r="E4" s="366"/>
      <c r="F4" s="366"/>
      <c r="G4" s="366"/>
      <c r="H4" s="366"/>
      <c r="I4" s="366"/>
      <c r="J4" s="94" t="s">
        <v>249</v>
      </c>
      <c r="K4" s="93">
        <v>1</v>
      </c>
      <c r="M4" s="4"/>
      <c r="N4" s="4"/>
      <c r="Q4" s="2"/>
    </row>
    <row r="5" spans="2:18" ht="5.25" customHeight="1" thickTop="1" x14ac:dyDescent="0.2">
      <c r="B5" s="104"/>
      <c r="C5" s="104"/>
      <c r="D5" s="108"/>
      <c r="E5" s="108"/>
      <c r="F5" s="108"/>
      <c r="G5" s="108"/>
      <c r="H5" s="108"/>
      <c r="J5" s="109"/>
      <c r="K5" s="109"/>
      <c r="L5" s="4"/>
      <c r="M5" s="110"/>
      <c r="N5" s="91"/>
      <c r="Q5" s="2"/>
    </row>
    <row r="6" spans="2:18" x14ac:dyDescent="0.25">
      <c r="B6" s="347" t="s">
        <v>250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</row>
    <row r="7" spans="2:18" ht="5.25" customHeight="1" thickBot="1" x14ac:dyDescent="0.3">
      <c r="B7" s="104"/>
      <c r="C7" s="104"/>
      <c r="D7" s="108"/>
      <c r="E7" s="108"/>
      <c r="F7" s="108"/>
      <c r="G7" s="108"/>
      <c r="H7" s="108"/>
      <c r="I7" s="108"/>
      <c r="J7" s="2"/>
      <c r="K7" s="2"/>
      <c r="L7" s="2"/>
      <c r="M7" s="2"/>
      <c r="N7" s="2"/>
      <c r="O7" s="2"/>
      <c r="P7" s="2"/>
      <c r="Q7" s="2"/>
      <c r="R7" s="111"/>
    </row>
    <row r="8" spans="2:18" ht="29.25" customHeight="1" thickTop="1" thickBot="1" x14ac:dyDescent="0.3">
      <c r="B8" s="348" t="s">
        <v>251</v>
      </c>
      <c r="C8" s="348"/>
      <c r="D8" s="348"/>
      <c r="E8" s="348"/>
      <c r="F8" s="348"/>
      <c r="G8" s="349" t="s">
        <v>252</v>
      </c>
      <c r="H8" s="349"/>
      <c r="I8" s="349"/>
      <c r="J8" s="350" t="s">
        <v>253</v>
      </c>
      <c r="K8" s="351"/>
      <c r="L8" s="351"/>
      <c r="M8" s="351"/>
      <c r="N8" s="352"/>
      <c r="O8" s="349" t="s">
        <v>254</v>
      </c>
      <c r="P8" s="349"/>
      <c r="Q8" s="349"/>
      <c r="R8" s="349"/>
    </row>
    <row r="9" spans="2:18" s="92" customFormat="1" ht="53.25" thickTop="1" thickBot="1" x14ac:dyDescent="0.3">
      <c r="B9" s="105" t="s">
        <v>255</v>
      </c>
      <c r="C9" s="106" t="s">
        <v>256</v>
      </c>
      <c r="D9" s="106" t="s">
        <v>257</v>
      </c>
      <c r="E9" s="106" t="s">
        <v>258</v>
      </c>
      <c r="F9" s="107" t="s">
        <v>259</v>
      </c>
      <c r="G9" s="105" t="s">
        <v>260</v>
      </c>
      <c r="H9" s="106" t="s">
        <v>261</v>
      </c>
      <c r="I9" s="107" t="s">
        <v>262</v>
      </c>
      <c r="J9" s="105" t="s">
        <v>263</v>
      </c>
      <c r="K9" s="106" t="s">
        <v>264</v>
      </c>
      <c r="L9" s="106" t="s">
        <v>265</v>
      </c>
      <c r="M9" s="106" t="s">
        <v>266</v>
      </c>
      <c r="N9" s="107" t="s">
        <v>105</v>
      </c>
      <c r="O9" s="105" t="s">
        <v>267</v>
      </c>
      <c r="P9" s="106" t="s">
        <v>268</v>
      </c>
      <c r="Q9" s="106" t="s">
        <v>269</v>
      </c>
      <c r="R9" s="107" t="s">
        <v>270</v>
      </c>
    </row>
    <row r="10" spans="2:18" s="92" customFormat="1" ht="77.25" thickTop="1" x14ac:dyDescent="0.25">
      <c r="B10" s="95" t="s">
        <v>271</v>
      </c>
      <c r="C10" s="95" t="s">
        <v>272</v>
      </c>
      <c r="D10" s="181" t="str">
        <f>IF(Tabela1[[#This Row],[ATIVIDADE]]="","",_xlfn.XLOOKUP(Tabela1[[#This Row],[ATIVIDADE]],Tabela13[ATIVIDADE],Tabela13[PERIGO],"",0))</f>
        <v>Eletricidade</v>
      </c>
      <c r="E10" s="181" t="str">
        <f>IF(Tabela1[[#This Row],[ATIVIDADE]]="","",_xlfn.XLOOKUP(Tabela1[[#This Row],[ATIVIDADE]],Tabela13[ATIVIDADE],Tabela13[DANOS / IMPACTO],"",0))</f>
        <v>Queimaduras, lesões graves ou fatais</v>
      </c>
      <c r="F10" s="180" t="str">
        <f>IF(Tabela1[[#This Row],[ATIVIDADE]]="","",_xlfn.XLOOKUP(Tabela1[[#This Row],[ATIVIDADE]],Tabela13[ATIVIDADE],Tabela13[RISCO],"",0))</f>
        <v>Choque elétrico</v>
      </c>
      <c r="G10" s="187">
        <f>IF(Tabela1[[#This Row],[ATIVIDADE]]="","",_xlfn.XLOOKUP(Tabela1[[#This Row],[ATIVIDADE]],Tabela13[ATIVIDADE],Tabela13[SEVERI-DADE],"",0))</f>
        <v>5</v>
      </c>
      <c r="H10" s="181">
        <f>IF(Tabela1[[#This Row],[ATIVIDADE]]="","",_xlfn.XLOOKUP(Tabela1[[#This Row],[ATIVIDADE]],Tabela13[ATIVIDADE],Tabela13[PROBA-BILIDA-DE],"",0))</f>
        <v>4</v>
      </c>
      <c r="I10" s="180" t="str">
        <f>IFERROR(INDEX(Tabelas!$E$5:$I$9, MATCH(Tabela1[[#This Row],[PROBA-BILIDA-DE]], Tabelas!$D$5:$D$9, 0), MATCH(Tabela1[[#This Row],[SEVERI-DADE]], Tabelas!$E$4:$I$4, 0)),"")</f>
        <v>⁴Muito Alto 
(20)</v>
      </c>
      <c r="J10" s="187" t="str">
        <f>IF(Tabela1[[#This Row],[ATIVIDADE]]="","",_xlfn.XLOOKUP(Tabela1[[#This Row],[ATIVIDADE]],Tabela13[ATIVIDADE],Tabela13[ELIMINAÇÃO],"",0))</f>
        <v>Desenergizar; teste de ausência de tensão</v>
      </c>
      <c r="K10" s="181" t="str">
        <f>IF(Tabela1[[#This Row],[ATIVIDADE]]="","",_xlfn.XLOOKUP(Tabela1[[#This Row],[ATIVIDADE]],Tabela13[ATIVIDADE],Tabela13[SUBSTITUIÇÃO],"",0))</f>
        <v>Sistemas automáticos de aterramento</v>
      </c>
      <c r="L10" s="181" t="str">
        <f>IF(Tabela1[[#This Row],[ATIVIDADE]]="","",_xlfn.XLOOKUP(Tabela1[[#This Row],[ATIVIDADE]],Tabela13[ATIVIDADE],Tabela13[CONTROLES DE ENGENHARIA],"",0))</f>
        <v>Dispositivo certificado; equipamento de teste</v>
      </c>
      <c r="M10" s="181" t="str">
        <f>IF(Tabela1[[#This Row],[ATIVIDADE]]="","",_xlfn.XLOOKUP(Tabela1[[#This Row],[ATIVIDADE]],Tabela13[ATIVIDADE],Tabela13[SINALIZAÇÃO/ ALERTAS E/OU CONTROLE ADM],"",0))</f>
        <v>Procedimento NR10; reciclagem periódica</v>
      </c>
      <c r="N10" s="180" t="str">
        <f>IF(Tabela1[[#This Row],[ATIVIDADE]]="","",_xlfn.XLOOKUP(Tabela1[[#This Row],[ATIVIDADE]],Tabela13[ATIVIDADE],Tabela13[EPI],"",0))</f>
        <v>Vestimenta anti-chama; capacete com viseira; luvas isolantes + sobreluvas mecânicas; bota isolante</v>
      </c>
      <c r="O10" s="187">
        <f>IF(Tabela1[[#This Row],[ATIVIDADE]]="","",_xlfn.XLOOKUP(Tabela1[[#This Row],[ATIVIDADE]],Tabela13[ATIVIDADE],Tabela13[SEVERI-DADE ],"",0))</f>
        <v>5</v>
      </c>
      <c r="P10" s="181">
        <f>IF(Tabela1[[#This Row],[ATIVIDADE]]="","",_xlfn.XLOOKUP(Tabela1[[#This Row],[ATIVIDADE]],Tabela13[ATIVIDADE],Tabela13[PROBA-BILIDA-DE ],"",0))</f>
        <v>2</v>
      </c>
      <c r="Q10" s="180" t="str">
        <f>IFERROR(INDEX(Tabelas!$E$5:$I$9, MATCH(Tabela1[[#This Row],[PROBA-BILIDA-DE ]], Tabelas!$D$5:$D$9, 0), MATCH(Tabela1[[#This Row],[SEVERI-DADE ]], Tabelas!$E$4:$I$4, 0)),"")</f>
        <v>³Alto 
(10)</v>
      </c>
      <c r="R10" s="180" t="str">
        <f>IF(Tabela1[[#This Row],[ATIVIDADE]]="","",_xlfn.XLOOKUP(Tabela1[[#This Row],[ATIVIDADE]],Tabela13[ATIVIDADE],Tabela13[CONTROLES ESPECÍFICOS],"",0))</f>
        <v>Testador de ausência de tensão</v>
      </c>
    </row>
    <row r="11" spans="2:18" s="92" customFormat="1" ht="127.5" x14ac:dyDescent="0.25">
      <c r="B11" s="95" t="s">
        <v>271</v>
      </c>
      <c r="C11" s="95" t="s">
        <v>273</v>
      </c>
      <c r="D11" s="181" t="str">
        <f>IF(Tabela1[[#This Row],[ATIVIDADE]]="","",_xlfn.XLOOKUP(Tabela1[[#This Row],[ATIVIDADE]],Tabela13[ATIVIDADE],Tabela13[PERIGO],"",0))</f>
        <v>Trabalho em altura</v>
      </c>
      <c r="E11" s="181" t="str">
        <f>IF(Tabela1[[#This Row],[ATIVIDADE]]="","",_xlfn.XLOOKUP(Tabela1[[#This Row],[ATIVIDADE]],Tabela13[ATIVIDADE],Tabela13[DANOS / IMPACTO],"",0))</f>
        <v>Fraturas, traumatismos, lesões graves ou fatais</v>
      </c>
      <c r="F11" s="180" t="str">
        <f>IF(Tabela1[[#This Row],[ATIVIDADE]]="","",_xlfn.XLOOKUP(Tabela1[[#This Row],[ATIVIDADE]],Tabela13[ATIVIDADE],Tabela13[RISCO],"",0))</f>
        <v>Queda de altura</v>
      </c>
      <c r="G11" s="187">
        <f>IF(Tabela1[[#This Row],[ATIVIDADE]]="","",_xlfn.XLOOKUP(Tabela1[[#This Row],[ATIVIDADE]],Tabela13[ATIVIDADE],Tabela13[SEVERI-DADE],"",0))</f>
        <v>4</v>
      </c>
      <c r="H11" s="181">
        <f>IF(Tabela1[[#This Row],[ATIVIDADE]]="","",_xlfn.XLOOKUP(Tabela1[[#This Row],[ATIVIDADE]],Tabela13[ATIVIDADE],Tabela13[PROBA-BILIDA-DE],"",0))</f>
        <v>4</v>
      </c>
      <c r="I11" s="180" t="str">
        <f>IFERROR(INDEX(Tabelas!$E$5:$I$9, MATCH(Tabela1[[#This Row],[PROBA-BILIDA-DE]], Tabelas!$D$5:$D$9, 0), MATCH(Tabela1[[#This Row],[SEVERI-DADE]], Tabelas!$E$4:$I$4, 0)),"")</f>
        <v>⁴Muito Alto 
(19)</v>
      </c>
      <c r="J11" s="187" t="str">
        <f>IF(Tabela1[[#This Row],[ATIVIDADE]]="","",_xlfn.XLOOKUP(Tabela1[[#This Row],[ATIVIDADE]],Tabela13[ATIVIDADE],Tabela13[ELIMINAÇÃO],"",0))</f>
        <v>Executar em solo quando possível (ferramentas longas, drones)</v>
      </c>
      <c r="K11" s="181" t="str">
        <f>IF(Tabela1[[#This Row],[ATIVIDADE]]="","",_xlfn.XLOOKUP(Tabela1[[#This Row],[ATIVIDADE]],Tabela13[ATIVIDADE],Tabela13[SUBSTITUIÇÃO],"",0))</f>
        <v>Plataformas elevatórias</v>
      </c>
      <c r="L11" s="188" t="str">
        <f>IF(Tabela1[[#This Row],[ATIVIDADE]]="","",_xlfn.XLOOKUP(Tabela1[[#This Row],[ATIVIDADE]],Tabela13[ATIVIDADE],Tabela13[CONTROLES DE ENGENHARIA],"",0))</f>
        <v>Linha de vida, pontos de ancoragem, guarda-corpos</v>
      </c>
      <c r="M11" s="188" t="str">
        <f>IF(Tabela1[[#This Row],[ATIVIDADE]]="","",_xlfn.XLOOKUP(Tabela1[[#This Row],[ATIVIDADE]],Tabela13[ATIVIDADE],Tabela13[SINALIZAÇÃO/ ALERTAS E/OU CONTROLE ADM],"",0))</f>
        <v>Procedimento NR35, checklist, controle de acesso</v>
      </c>
      <c r="N11" s="189" t="str">
        <f>IF(Tabela1[[#This Row],[ATIVIDADE]]="","",_xlfn.XLOOKUP(Tabela1[[#This Row],[ATIVIDADE]],Tabela13[ATIVIDADE],Tabela13[EPI],"",0))</f>
        <v>Cinturão paraquedista; trava-quedas retrátil; capacete com jugular; bota de segurança antiderrapante; luvas mecânicas</v>
      </c>
      <c r="O11" s="187">
        <f>IF(Tabela1[[#This Row],[ATIVIDADE]]="","",_xlfn.XLOOKUP(Tabela1[[#This Row],[ATIVIDADE]],Tabela13[ATIVIDADE],Tabela13[SEVERI-DADE ],"",0))</f>
        <v>4</v>
      </c>
      <c r="P11" s="181">
        <f>IF(Tabela1[[#This Row],[ATIVIDADE]]="","",_xlfn.XLOOKUP(Tabela1[[#This Row],[ATIVIDADE]],Tabela13[ATIVIDADE],Tabela13[PROBA-BILIDA-DE ],"",0))</f>
        <v>2</v>
      </c>
      <c r="Q11" s="180" t="str">
        <f>IFERROR(INDEX(Tabelas!$E$5:$I$9, MATCH(Tabela1[[#This Row],[PROBA-BILIDA-DE ]], Tabelas!$D$5:$D$9, 0), MATCH(Tabela1[[#This Row],[SEVERI-DADE ]], Tabelas!$E$4:$I$4, 0)),"")</f>
        <v>³Alto 
(9)</v>
      </c>
      <c r="R11" s="189" t="str">
        <f>IF(Tabela1[[#This Row],[ATIVIDADE]]="","",_xlfn.XLOOKUP(Tabela1[[#This Row],[ATIVIDADE]],Tabela13[ATIVIDADE],Tabela13[CONTROLES ESPECÍFICOS],"",0))</f>
        <v>- Inspeção prévia dos EPIs e pontos de ancoragem
- Plano de resgate com equipe treinada
- Uso de trava-quedas retrátil em linha vertical</v>
      </c>
    </row>
    <row r="12" spans="2:18" s="92" customFormat="1" ht="76.5" x14ac:dyDescent="0.25">
      <c r="B12" s="95" t="s">
        <v>271</v>
      </c>
      <c r="C12" s="95" t="s">
        <v>274</v>
      </c>
      <c r="D12" s="181" t="str">
        <f>IF(Tabela1[[#This Row],[ATIVIDADE]]="","",_xlfn.XLOOKUP(Tabela1[[#This Row],[ATIVIDADE]],Tabela13[ATIVIDADE],Tabela13[PERIGO],"",0))</f>
        <v>Eletricidade</v>
      </c>
      <c r="E12" s="181" t="str">
        <f>IF(Tabela1[[#This Row],[ATIVIDADE]]="","",_xlfn.XLOOKUP(Tabela1[[#This Row],[ATIVIDADE]],Tabela13[ATIVIDADE],Tabela13[DANOS / IMPACTO],"",0))</f>
        <v>Lesões graves ou fatais</v>
      </c>
      <c r="F12" s="180" t="str">
        <f>IF(Tabela1[[#This Row],[ATIVIDADE]]="","",_xlfn.XLOOKUP(Tabela1[[#This Row],[ATIVIDADE]],Tabela13[ATIVIDADE],Tabela13[RISCO],"",0))</f>
        <v>Choque elétrico</v>
      </c>
      <c r="G12" s="187">
        <f>IF(Tabela1[[#This Row],[ATIVIDADE]]="","",_xlfn.XLOOKUP(Tabela1[[#This Row],[ATIVIDADE]],Tabela13[ATIVIDADE],Tabela13[SEVERI-DADE],"",0))</f>
        <v>5</v>
      </c>
      <c r="H12" s="181">
        <f>IF(Tabela1[[#This Row],[ATIVIDADE]]="","",_xlfn.XLOOKUP(Tabela1[[#This Row],[ATIVIDADE]],Tabela13[ATIVIDADE],Tabela13[PROBA-BILIDA-DE],"",0))</f>
        <v>3</v>
      </c>
      <c r="I12" s="180" t="str">
        <f>IFERROR(INDEX(Tabelas!$E$5:$I$9, MATCH(Tabela1[[#This Row],[PROBA-BILIDA-DE]], Tabelas!$D$5:$D$9, 0), MATCH(Tabela1[[#This Row],[SEVERI-DADE]], Tabelas!$E$4:$I$4, 0)),"")</f>
        <v>⁴Muito Alto 
(15)</v>
      </c>
      <c r="J12" s="187" t="str">
        <f>IF(Tabela1[[#This Row],[ATIVIDADE]]="","",_xlfn.XLOOKUP(Tabela1[[#This Row],[ATIVIDADE]],Tabela13[ATIVIDADE],Tabela13[ELIMINAÇÃO],"",0))</f>
        <v>Evitar contato direto</v>
      </c>
      <c r="K12" s="181" t="str">
        <f>IF(Tabela1[[#This Row],[ATIVIDADE]]="","",_xlfn.XLOOKUP(Tabela1[[#This Row],[ATIVIDADE]],Tabela13[ATIVIDADE],Tabela13[SUBSTITUIÇÃO],"",0))</f>
        <v>NAPL</v>
      </c>
      <c r="L12" s="188" t="str">
        <f>IF(Tabela1[[#This Row],[ATIVIDADE]]="","",_xlfn.XLOOKUP(Tabela1[[#This Row],[ATIVIDADE]],Tabela13[ATIVIDADE],Tabela13[CONTROLES DE ENGENHARIA],"",0))</f>
        <v>Detector de tensão</v>
      </c>
      <c r="M12" s="188" t="str">
        <f>IF(Tabela1[[#This Row],[ATIVIDADE]]="","",_xlfn.XLOOKUP(Tabela1[[#This Row],[ATIVIDADE]],Tabela13[ATIVIDADE],Tabela13[SINALIZAÇÃO/ ALERTAS E/OU CONTROLE ADM],"",0))</f>
        <v>Procedimento NR10; aviso de teste</v>
      </c>
      <c r="N12" s="189" t="str">
        <f>IF(Tabela1[[#This Row],[ATIVIDADE]]="","",_xlfn.XLOOKUP(Tabela1[[#This Row],[ATIVIDADE]],Tabela13[ATIVIDADE],Tabela13[EPI],"",0))</f>
        <v>Vestimenta anti-chama; capacete com viseira; luvas isolantes + sobreluvas mecânicas; bota isolante</v>
      </c>
      <c r="O12" s="187">
        <f>IF(Tabela1[[#This Row],[ATIVIDADE]]="","",_xlfn.XLOOKUP(Tabela1[[#This Row],[ATIVIDADE]],Tabela13[ATIVIDADE],Tabela13[SEVERI-DADE ],"",0))</f>
        <v>5</v>
      </c>
      <c r="P12" s="181">
        <f>IF(Tabela1[[#This Row],[ATIVIDADE]]="","",_xlfn.XLOOKUP(Tabela1[[#This Row],[ATIVIDADE]],Tabela13[ATIVIDADE],Tabela13[PROBA-BILIDA-DE ],"",0))</f>
        <v>1</v>
      </c>
      <c r="Q12" s="180" t="str">
        <f>IFERROR(INDEX(Tabelas!$E$5:$I$9, MATCH(Tabela1[[#This Row],[PROBA-BILIDA-DE ]], Tabelas!$D$5:$D$9, 0), MATCH(Tabela1[[#This Row],[SEVERI-DADE ]], Tabelas!$E$4:$I$4, 0)),"")</f>
        <v>³Alto 
(5)</v>
      </c>
      <c r="R12" s="180" t="str">
        <f>IF(Tabela1[[#This Row],[ATIVIDADE]]="","",_xlfn.XLOOKUP(Tabela1[[#This Row],[ATIVIDADE]],Tabela13[ATIVIDADE],Tabela13[CONTROLES ESPECÍFICOS],"",0))</f>
        <v>Detector homologado, procedimento NR10</v>
      </c>
    </row>
    <row r="13" spans="2:18" ht="38.25" x14ac:dyDescent="0.25">
      <c r="B13" s="95" t="s">
        <v>275</v>
      </c>
      <c r="C13" s="95" t="s">
        <v>276</v>
      </c>
      <c r="D13" s="181" t="str">
        <f>IF(Tabela1[[#This Row],[ATIVIDADE]]="","",_xlfn.XLOOKUP(Tabela1[[#This Row],[ATIVIDADE]],Tabela13[ATIVIDADE],Tabela13[PERIGO],"",0))</f>
        <v>Veículo em movimento</v>
      </c>
      <c r="E13" s="181" t="str">
        <f>IF(Tabela1[[#This Row],[ATIVIDADE]]="","",_xlfn.XLOOKUP(Tabela1[[#This Row],[ATIVIDADE]],Tabela13[ATIVIDADE],Tabela13[DANOS / IMPACTO],"",0))</f>
        <v>Lesões graves, danos materiais</v>
      </c>
      <c r="F13" s="180" t="str">
        <f>IF(Tabela1[[#This Row],[ATIVIDADE]]="","",_xlfn.XLOOKUP(Tabela1[[#This Row],[ATIVIDADE]],Tabela13[ATIVIDADE],Tabela13[RISCO],"",0))</f>
        <v>Colisão</v>
      </c>
      <c r="G13" s="187">
        <f>IF(Tabela1[[#This Row],[ATIVIDADE]]="","",_xlfn.XLOOKUP(Tabela1[[#This Row],[ATIVIDADE]],Tabela13[ATIVIDADE],Tabela13[SEVERI-DADE],"",0))</f>
        <v>4</v>
      </c>
      <c r="H13" s="181">
        <f>IF(Tabela1[[#This Row],[ATIVIDADE]]="","",_xlfn.XLOOKUP(Tabela1[[#This Row],[ATIVIDADE]],Tabela13[ATIVIDADE],Tabela13[PROBA-BILIDA-DE],"",0))</f>
        <v>3</v>
      </c>
      <c r="I13" s="180" t="str">
        <f>IFERROR(INDEX(Tabelas!$E$5:$I$9, MATCH(Tabela1[[#This Row],[PROBA-BILIDA-DE]], Tabelas!$D$5:$D$9, 0), MATCH(Tabela1[[#This Row],[SEVERI-DADE]], Tabelas!$E$4:$I$4, 0)),"")</f>
        <v>³Alto 
(14)</v>
      </c>
      <c r="J13" s="187" t="str">
        <f>IF(Tabela1[[#This Row],[ATIVIDADE]]="","",_xlfn.XLOOKUP(Tabela1[[#This Row],[ATIVIDADE]],Tabela13[ATIVIDADE],Tabela13[ELIMINAÇÃO],"",0))</f>
        <v>Planejar rota</v>
      </c>
      <c r="K13" s="181" t="str">
        <f>IF(Tabela1[[#This Row],[ATIVIDADE]]="","",_xlfn.XLOOKUP(Tabela1[[#This Row],[ATIVIDADE]],Tabela13[ATIVIDADE],Tabela13[SUBSTITUIÇÃO],"",0))</f>
        <v>NAPL</v>
      </c>
      <c r="L13" s="181" t="str">
        <f>IF(Tabela1[[#This Row],[ATIVIDADE]]="","",_xlfn.XLOOKUP(Tabela1[[#This Row],[ATIVIDADE]],Tabela13[ATIVIDADE],Tabela13[CONTROLES DE ENGENHARIA],"",0))</f>
        <v>Limitação de velocidade; barreiras</v>
      </c>
      <c r="M13" s="181" t="str">
        <f>IF(Tabela1[[#This Row],[ATIVIDADE]]="","",_xlfn.XLOOKUP(Tabela1[[#This Row],[ATIVIDADE]],Tabela13[ATIVIDADE],Tabela13[SINALIZAÇÃO/ ALERTAS E/OU CONTROLE ADM],"",0))</f>
        <v>Sinalização de tráfego</v>
      </c>
      <c r="N13" s="180" t="str">
        <f>IF(Tabela1[[#This Row],[ATIVIDADE]]="","",_xlfn.XLOOKUP(Tabela1[[#This Row],[ATIVIDADE]],Tabela13[ATIVIDADE],Tabela13[EPI],"",0))</f>
        <v>Cinto de segurança</v>
      </c>
      <c r="O13" s="187">
        <f>IF(Tabela1[[#This Row],[ATIVIDADE]]="","",_xlfn.XLOOKUP(Tabela1[[#This Row],[ATIVIDADE]],Tabela13[ATIVIDADE],Tabela13[SEVERI-DADE ],"",0))</f>
        <v>3</v>
      </c>
      <c r="P13" s="181">
        <f>IF(Tabela1[[#This Row],[ATIVIDADE]]="","",_xlfn.XLOOKUP(Tabela1[[#This Row],[ATIVIDADE]],Tabela13[ATIVIDADE],Tabela13[PROBA-BILIDA-DE ],"",0))</f>
        <v>1</v>
      </c>
      <c r="Q13" s="180" t="str">
        <f>IFERROR(INDEX(Tabelas!$E$5:$I$9, MATCH(Tabela1[[#This Row],[PROBA-BILIDA-DE ]], Tabelas!$D$5:$D$9, 0), MATCH(Tabela1[[#This Row],[SEVERI-DADE ]], Tabelas!$E$4:$I$4, 0)),"")</f>
        <v>²Médio 
(3)</v>
      </c>
      <c r="R13" s="180" t="str">
        <f>IF(Tabela1[[#This Row],[ATIVIDADE]]="","",_xlfn.XLOOKUP(Tabela1[[#This Row],[ATIVIDADE]],Tabela13[ATIVIDADE],Tabela13[CONTROLES ESPECÍFICOS],"",0))</f>
        <v>Dirigir em baixa velocidade</v>
      </c>
    </row>
    <row r="14" spans="2:18" ht="38.25" x14ac:dyDescent="0.25">
      <c r="B14" s="95" t="s">
        <v>275</v>
      </c>
      <c r="C14" s="95" t="s">
        <v>277</v>
      </c>
      <c r="D14" s="181" t="str">
        <f>IF(Tabela1[[#This Row],[ATIVIDADE]]="","",_xlfn.XLOOKUP(Tabela1[[#This Row],[ATIVIDADE]],Tabela13[ATIVIDADE],Tabela13[PERIGO],"",0))</f>
        <v>Piso irregular</v>
      </c>
      <c r="E14" s="181" t="str">
        <f>IF(Tabela1[[#This Row],[ATIVIDADE]]="","",_xlfn.XLOOKUP(Tabela1[[#This Row],[ATIVIDADE]],Tabela13[ATIVIDADE],Tabela13[DANOS / IMPACTO],"",0))</f>
        <v>Escoriações, torções, fraturas leves</v>
      </c>
      <c r="F14" s="180" t="str">
        <f>IF(Tabela1[[#This Row],[ATIVIDADE]]="","",_xlfn.XLOOKUP(Tabela1[[#This Row],[ATIVIDADE]],Tabela13[ATIVIDADE],Tabela13[RISCO],"",0))</f>
        <v>Queda ao caminhar</v>
      </c>
      <c r="G14" s="187">
        <f>IF(Tabela1[[#This Row],[ATIVIDADE]]="","",_xlfn.XLOOKUP(Tabela1[[#This Row],[ATIVIDADE]],Tabela13[ATIVIDADE],Tabela13[SEVERI-DADE],"",0))</f>
        <v>2</v>
      </c>
      <c r="H14" s="181">
        <f>IF(Tabela1[[#This Row],[ATIVIDADE]]="","",_xlfn.XLOOKUP(Tabela1[[#This Row],[ATIVIDADE]],Tabela13[ATIVIDADE],Tabela13[PROBA-BILIDA-DE],"",0))</f>
        <v>4</v>
      </c>
      <c r="I14" s="180" t="str">
        <f>IFERROR(INDEX(Tabelas!$E$5:$I$9, MATCH(Tabela1[[#This Row],[PROBA-BILIDA-DE]], Tabelas!$D$5:$D$9, 0), MATCH(Tabela1[[#This Row],[SEVERI-DADE]], Tabelas!$E$4:$I$4, 0)),"")</f>
        <v>²Médio 
(17)</v>
      </c>
      <c r="J14" s="187" t="str">
        <f>IF(Tabela1[[#This Row],[ATIVIDADE]]="","",_xlfn.XLOOKUP(Tabela1[[#This Row],[ATIVIDADE]],Tabela13[ATIVIDADE],Tabela13[ELIMINAÇÃO],"",0))</f>
        <v>NAPL</v>
      </c>
      <c r="K14" s="181" t="str">
        <f>IF(Tabela1[[#This Row],[ATIVIDADE]]="","",_xlfn.XLOOKUP(Tabela1[[#This Row],[ATIVIDADE]],Tabela13[ATIVIDADE],Tabela13[SUBSTITUIÇÃO],"",0))</f>
        <v>NAPL</v>
      </c>
      <c r="L14" s="181" t="str">
        <f>IF(Tabela1[[#This Row],[ATIVIDADE]]="","",_xlfn.XLOOKUP(Tabela1[[#This Row],[ATIVIDADE]],Tabela13[ATIVIDADE],Tabela13[CONTROLES DE ENGENHARIA],"",0))</f>
        <v>Nivelamento de piso</v>
      </c>
      <c r="M14" s="181" t="str">
        <f>IF(Tabela1[[#This Row],[ATIVIDADE]]="","",_xlfn.XLOOKUP(Tabela1[[#This Row],[ATIVIDADE]],Tabela13[ATIVIDADE],Tabela13[SINALIZAÇÃO/ ALERTAS E/OU CONTROLE ADM],"",0))</f>
        <v>Inspeção visual; PEX/APR</v>
      </c>
      <c r="N14" s="180" t="str">
        <f>IF(Tabela1[[#This Row],[ATIVIDADE]]="","",_xlfn.XLOOKUP(Tabela1[[#This Row],[ATIVIDADE]],Tabela13[ATIVIDADE],Tabela13[EPI],"",0))</f>
        <v>Bota de segurança; capacete com jugular</v>
      </c>
      <c r="O14" s="187">
        <f>IF(Tabela1[[#This Row],[ATIVIDADE]]="","",_xlfn.XLOOKUP(Tabela1[[#This Row],[ATIVIDADE]],Tabela13[ATIVIDADE],Tabela13[SEVERI-DADE ],"",0))</f>
        <v>2</v>
      </c>
      <c r="P14" s="181">
        <f>IF(Tabela1[[#This Row],[ATIVIDADE]]="","",_xlfn.XLOOKUP(Tabela1[[#This Row],[ATIVIDADE]],Tabela13[ATIVIDADE],Tabela13[PROBA-BILIDA-DE ],"",0))</f>
        <v>2</v>
      </c>
      <c r="Q14" s="180" t="str">
        <f>IFERROR(INDEX(Tabelas!$E$5:$I$9, MATCH(Tabela1[[#This Row],[PROBA-BILIDA-DE ]], Tabelas!$D$5:$D$9, 0), MATCH(Tabela1[[#This Row],[SEVERI-DADE ]], Tabelas!$E$4:$I$4, 0)),"")</f>
        <v>¹Baixo 
(7)</v>
      </c>
      <c r="R14" s="180" t="str">
        <f>IF(Tabela1[[#This Row],[ATIVIDADE]]="","",_xlfn.XLOOKUP(Tabela1[[#This Row],[ATIVIDADE]],Tabela13[ATIVIDADE],Tabela13[CONTROLES ESPECÍFICOS],"",0))</f>
        <v>Movimentar-se atentamente</v>
      </c>
    </row>
    <row r="15" spans="2:18" x14ac:dyDescent="0.25">
      <c r="B15" s="164"/>
      <c r="C15" s="95"/>
      <c r="D15" s="181" t="str">
        <f>IF(Tabela1[[#This Row],[ATIVIDADE]]="","",_xlfn.XLOOKUP(Tabela1[[#This Row],[ATIVIDADE]],Tabela13[ATIVIDADE],Tabela13[PERIGO],"",0))</f>
        <v/>
      </c>
      <c r="E15" s="181" t="str">
        <f>IF(Tabela1[[#This Row],[ATIVIDADE]]="","",_xlfn.XLOOKUP(Tabela1[[#This Row],[ATIVIDADE]],Tabela13[ATIVIDADE],Tabela13[DANOS / IMPACTO],"",0))</f>
        <v/>
      </c>
      <c r="F15" s="180" t="str">
        <f>IF(Tabela1[[#This Row],[ATIVIDADE]]="","",_xlfn.XLOOKUP(Tabela1[[#This Row],[ATIVIDADE]],Tabela13[ATIVIDADE],Tabela13[RISCO],"",0))</f>
        <v/>
      </c>
      <c r="G15" s="187" t="str">
        <f>IF(Tabela1[[#This Row],[ATIVIDADE]]="","",_xlfn.XLOOKUP(Tabela1[[#This Row],[ATIVIDADE]],Tabela13[ATIVIDADE],Tabela13[SEVERI-DADE],"",0))</f>
        <v/>
      </c>
      <c r="H15" s="181" t="str">
        <f>IF(Tabela1[[#This Row],[ATIVIDADE]]="","",_xlfn.XLOOKUP(Tabela1[[#This Row],[ATIVIDADE]],Tabela13[ATIVIDADE],Tabela13[PROBA-BILIDA-DE],"",0))</f>
        <v/>
      </c>
      <c r="I15" s="180" t="str">
        <f>IFERROR(INDEX(Tabelas!$E$5:$I$9, MATCH(Tabela1[[#This Row],[PROBA-BILIDA-DE]], Tabelas!$D$5:$D$9, 0), MATCH(Tabela1[[#This Row],[SEVERI-DADE]], Tabelas!$E$4:$I$4, 0)),"")</f>
        <v/>
      </c>
      <c r="J15" s="187" t="str">
        <f>IF(Tabela1[[#This Row],[ATIVIDADE]]="","",_xlfn.XLOOKUP(Tabela1[[#This Row],[ATIVIDADE]],Tabela13[ATIVIDADE],Tabela13[ELIMINAÇÃO],"",0))</f>
        <v/>
      </c>
      <c r="K15" s="181" t="str">
        <f>IF(Tabela1[[#This Row],[ATIVIDADE]]="","",_xlfn.XLOOKUP(Tabela1[[#This Row],[ATIVIDADE]],Tabela13[ATIVIDADE],Tabela13[SUBSTITUIÇÃO],"",0))</f>
        <v/>
      </c>
      <c r="L15" s="181" t="str">
        <f>IF(Tabela1[[#This Row],[ATIVIDADE]]="","",_xlfn.XLOOKUP(Tabela1[[#This Row],[ATIVIDADE]],Tabela13[ATIVIDADE],Tabela13[CONTROLES DE ENGENHARIA],"",0))</f>
        <v/>
      </c>
      <c r="M15" s="181" t="str">
        <f>IF(Tabela1[[#This Row],[ATIVIDADE]]="","",_xlfn.XLOOKUP(Tabela1[[#This Row],[ATIVIDADE]],Tabela13[ATIVIDADE],Tabela13[SINALIZAÇÃO/ ALERTAS E/OU CONTROLE ADM],"",0))</f>
        <v/>
      </c>
      <c r="N15" s="180" t="str">
        <f>IF(Tabela1[[#This Row],[ATIVIDADE]]="","",_xlfn.XLOOKUP(Tabela1[[#This Row],[ATIVIDADE]],Tabela13[ATIVIDADE],Tabela13[EPI],"",0))</f>
        <v/>
      </c>
      <c r="O15" s="187" t="str">
        <f>IF(Tabela1[[#This Row],[ATIVIDADE]]="","",_xlfn.XLOOKUP(Tabela1[[#This Row],[ATIVIDADE]],Tabela13[ATIVIDADE],Tabela13[SEVERI-DADE ],"",0))</f>
        <v/>
      </c>
      <c r="P15" s="181" t="str">
        <f>IF(Tabela1[[#This Row],[ATIVIDADE]]="","",_xlfn.XLOOKUP(Tabela1[[#This Row],[ATIVIDADE]],Tabela13[ATIVIDADE],Tabela13[PROBA-BILIDA-DE ],"",0))</f>
        <v/>
      </c>
      <c r="Q15" s="180" t="str">
        <f>IFERROR(INDEX(Tabelas!$E$5:$I$9, MATCH(Tabela1[[#This Row],[PROBA-BILIDA-DE ]], Tabelas!$D$5:$D$9, 0), MATCH(Tabela1[[#This Row],[SEVERI-DADE ]], Tabelas!$E$4:$I$4, 0)),"")</f>
        <v/>
      </c>
      <c r="R15" s="180" t="str">
        <f>IF(Tabela1[[#This Row],[ATIVIDADE]]="","",_xlfn.XLOOKUP(Tabela1[[#This Row],[ATIVIDADE]],Tabela13[ATIVIDADE],Tabela13[CONTROLES ESPECÍFICOS],"",0))</f>
        <v/>
      </c>
    </row>
    <row r="16" spans="2:18" x14ac:dyDescent="0.25">
      <c r="B16" s="164"/>
      <c r="C16" s="95"/>
      <c r="D16" s="181" t="str">
        <f>IF(Tabela1[[#This Row],[ATIVIDADE]]="","",_xlfn.XLOOKUP(Tabela1[[#This Row],[ATIVIDADE]],Tabela13[ATIVIDADE],Tabela13[PERIGO],"",0))</f>
        <v/>
      </c>
      <c r="E16" s="181" t="str">
        <f>IF(Tabela1[[#This Row],[ATIVIDADE]]="","",_xlfn.XLOOKUP(Tabela1[[#This Row],[ATIVIDADE]],Tabela13[ATIVIDADE],Tabela13[DANOS / IMPACTO],"",0))</f>
        <v/>
      </c>
      <c r="F16" s="180" t="str">
        <f>IF(Tabela1[[#This Row],[ATIVIDADE]]="","",_xlfn.XLOOKUP(Tabela1[[#This Row],[ATIVIDADE]],Tabela13[ATIVIDADE],Tabela13[RISCO],"",0))</f>
        <v/>
      </c>
      <c r="G16" s="187" t="str">
        <f>IF(Tabela1[[#This Row],[ATIVIDADE]]="","",_xlfn.XLOOKUP(Tabela1[[#This Row],[ATIVIDADE]],Tabela13[ATIVIDADE],Tabela13[SEVERI-DADE],"",0))</f>
        <v/>
      </c>
      <c r="H16" s="181" t="str">
        <f>IF(Tabela1[[#This Row],[ATIVIDADE]]="","",_xlfn.XLOOKUP(Tabela1[[#This Row],[ATIVIDADE]],Tabela13[ATIVIDADE],Tabela13[PROBA-BILIDA-DE],"",0))</f>
        <v/>
      </c>
      <c r="I16" s="180" t="str">
        <f>IFERROR(INDEX(Tabelas!$E$5:$I$9, MATCH(Tabela1[[#This Row],[PROBA-BILIDA-DE]], Tabelas!$D$5:$D$9, 0), MATCH(Tabela1[[#This Row],[SEVERI-DADE]], Tabelas!$E$4:$I$4, 0)),"")</f>
        <v/>
      </c>
      <c r="J16" s="187" t="str">
        <f>IF(Tabela1[[#This Row],[ATIVIDADE]]="","",_xlfn.XLOOKUP(Tabela1[[#This Row],[ATIVIDADE]],Tabela13[ATIVIDADE],Tabela13[ELIMINAÇÃO],"",0))</f>
        <v/>
      </c>
      <c r="K16" s="181" t="str">
        <f>IF(Tabela1[[#This Row],[ATIVIDADE]]="","",_xlfn.XLOOKUP(Tabela1[[#This Row],[ATIVIDADE]],Tabela13[ATIVIDADE],Tabela13[SUBSTITUIÇÃO],"",0))</f>
        <v/>
      </c>
      <c r="L16" s="181" t="str">
        <f>IF(Tabela1[[#This Row],[ATIVIDADE]]="","",_xlfn.XLOOKUP(Tabela1[[#This Row],[ATIVIDADE]],Tabela13[ATIVIDADE],Tabela13[CONTROLES DE ENGENHARIA],"",0))</f>
        <v/>
      </c>
      <c r="M16" s="181" t="str">
        <f>IF(Tabela1[[#This Row],[ATIVIDADE]]="","",_xlfn.XLOOKUP(Tabela1[[#This Row],[ATIVIDADE]],Tabela13[ATIVIDADE],Tabela13[SINALIZAÇÃO/ ALERTAS E/OU CONTROLE ADM],"",0))</f>
        <v/>
      </c>
      <c r="N16" s="180" t="str">
        <f>IF(Tabela1[[#This Row],[ATIVIDADE]]="","",_xlfn.XLOOKUP(Tabela1[[#This Row],[ATIVIDADE]],Tabela13[ATIVIDADE],Tabela13[EPI],"",0))</f>
        <v/>
      </c>
      <c r="O16" s="187" t="str">
        <f>IF(Tabela1[[#This Row],[ATIVIDADE]]="","",_xlfn.XLOOKUP(Tabela1[[#This Row],[ATIVIDADE]],Tabela13[ATIVIDADE],Tabela13[SEVERI-DADE ],"",0))</f>
        <v/>
      </c>
      <c r="P16" s="181" t="str">
        <f>IF(Tabela1[[#This Row],[ATIVIDADE]]="","",_xlfn.XLOOKUP(Tabela1[[#This Row],[ATIVIDADE]],Tabela13[ATIVIDADE],Tabela13[PROBA-BILIDA-DE ],"",0))</f>
        <v/>
      </c>
      <c r="Q16" s="180" t="str">
        <f>IFERROR(INDEX(Tabelas!$E$5:$I$9, MATCH(Tabela1[[#This Row],[PROBA-BILIDA-DE ]], Tabelas!$D$5:$D$9, 0), MATCH(Tabela1[[#This Row],[SEVERI-DADE ]], Tabelas!$E$4:$I$4, 0)),"")</f>
        <v/>
      </c>
      <c r="R16" s="180" t="str">
        <f>IF(Tabela1[[#This Row],[ATIVIDADE]]="","",_xlfn.XLOOKUP(Tabela1[[#This Row],[ATIVIDADE]],Tabela13[ATIVIDADE],Tabela13[CONTROLES ESPECÍFICOS],"",0))</f>
        <v/>
      </c>
    </row>
    <row r="17" spans="2:18" x14ac:dyDescent="0.25">
      <c r="B17" s="164"/>
      <c r="C17" s="95"/>
      <c r="D17" s="181" t="str">
        <f>IF(Tabela1[[#This Row],[ATIVIDADE]]="","",_xlfn.XLOOKUP(Tabela1[[#This Row],[ATIVIDADE]],Tabela13[ATIVIDADE],Tabela13[PERIGO],"",0))</f>
        <v/>
      </c>
      <c r="E17" s="181" t="str">
        <f>IF(Tabela1[[#This Row],[ATIVIDADE]]="","",_xlfn.XLOOKUP(Tabela1[[#This Row],[ATIVIDADE]],Tabela13[ATIVIDADE],Tabela13[DANOS / IMPACTO],"",0))</f>
        <v/>
      </c>
      <c r="F17" s="180" t="str">
        <f>IF(Tabela1[[#This Row],[ATIVIDADE]]="","",_xlfn.XLOOKUP(Tabela1[[#This Row],[ATIVIDADE]],Tabela13[ATIVIDADE],Tabela13[RISCO],"",0))</f>
        <v/>
      </c>
      <c r="G17" s="187" t="str">
        <f>IF(Tabela1[[#This Row],[ATIVIDADE]]="","",_xlfn.XLOOKUP(Tabela1[[#This Row],[ATIVIDADE]],Tabela13[ATIVIDADE],Tabela13[SEVERI-DADE],"",0))</f>
        <v/>
      </c>
      <c r="H17" s="181" t="str">
        <f>IF(Tabela1[[#This Row],[ATIVIDADE]]="","",_xlfn.XLOOKUP(Tabela1[[#This Row],[ATIVIDADE]],Tabela13[ATIVIDADE],Tabela13[PROBA-BILIDA-DE],"",0))</f>
        <v/>
      </c>
      <c r="I17" s="180" t="str">
        <f>IFERROR(INDEX(Tabelas!$E$5:$I$9, MATCH(Tabela1[[#This Row],[PROBA-BILIDA-DE]], Tabelas!$D$5:$D$9, 0), MATCH(Tabela1[[#This Row],[SEVERI-DADE]], Tabelas!$E$4:$I$4, 0)),"")</f>
        <v/>
      </c>
      <c r="J17" s="187" t="str">
        <f>IF(Tabela1[[#This Row],[ATIVIDADE]]="","",_xlfn.XLOOKUP(Tabela1[[#This Row],[ATIVIDADE]],Tabela13[ATIVIDADE],Tabela13[ELIMINAÇÃO],"",0))</f>
        <v/>
      </c>
      <c r="K17" s="181" t="str">
        <f>IF(Tabela1[[#This Row],[ATIVIDADE]]="","",_xlfn.XLOOKUP(Tabela1[[#This Row],[ATIVIDADE]],Tabela13[ATIVIDADE],Tabela13[SUBSTITUIÇÃO],"",0))</f>
        <v/>
      </c>
      <c r="L17" s="181" t="str">
        <f>IF(Tabela1[[#This Row],[ATIVIDADE]]="","",_xlfn.XLOOKUP(Tabela1[[#This Row],[ATIVIDADE]],Tabela13[ATIVIDADE],Tabela13[CONTROLES DE ENGENHARIA],"",0))</f>
        <v/>
      </c>
      <c r="M17" s="181" t="str">
        <f>IF(Tabela1[[#This Row],[ATIVIDADE]]="","",_xlfn.XLOOKUP(Tabela1[[#This Row],[ATIVIDADE]],Tabela13[ATIVIDADE],Tabela13[SINALIZAÇÃO/ ALERTAS E/OU CONTROLE ADM],"",0))</f>
        <v/>
      </c>
      <c r="N17" s="180" t="str">
        <f>IF(Tabela1[[#This Row],[ATIVIDADE]]="","",_xlfn.XLOOKUP(Tabela1[[#This Row],[ATIVIDADE]],Tabela13[ATIVIDADE],Tabela13[EPI],"",0))</f>
        <v/>
      </c>
      <c r="O17" s="187" t="str">
        <f>IF(Tabela1[[#This Row],[ATIVIDADE]]="","",_xlfn.XLOOKUP(Tabela1[[#This Row],[ATIVIDADE]],Tabela13[ATIVIDADE],Tabela13[SEVERI-DADE ],"",0))</f>
        <v/>
      </c>
      <c r="P17" s="181" t="str">
        <f>IF(Tabela1[[#This Row],[ATIVIDADE]]="","",_xlfn.XLOOKUP(Tabela1[[#This Row],[ATIVIDADE]],Tabela13[ATIVIDADE],Tabela13[PROBA-BILIDA-DE ],"",0))</f>
        <v/>
      </c>
      <c r="Q17" s="180" t="str">
        <f>IFERROR(INDEX(Tabelas!$E$5:$I$9, MATCH(Tabela1[[#This Row],[PROBA-BILIDA-DE ]], Tabelas!$D$5:$D$9, 0), MATCH(Tabela1[[#This Row],[SEVERI-DADE ]], Tabelas!$E$4:$I$4, 0)),"")</f>
        <v/>
      </c>
      <c r="R17" s="180" t="str">
        <f>IF(Tabela1[[#This Row],[ATIVIDADE]]="","",_xlfn.XLOOKUP(Tabela1[[#This Row],[ATIVIDADE]],Tabela13[ATIVIDADE],Tabela13[CONTROLES ESPECÍFICOS],"",0))</f>
        <v/>
      </c>
    </row>
    <row r="18" spans="2:18" x14ac:dyDescent="0.25">
      <c r="B18" s="95"/>
      <c r="C18" s="95"/>
      <c r="D18" s="181" t="str">
        <f>IF(Tabela1[[#This Row],[ATIVIDADE]]="","",_xlfn.XLOOKUP(Tabela1[[#This Row],[ATIVIDADE]],Tabela13[ATIVIDADE],Tabela13[PERIGO],"",0))</f>
        <v/>
      </c>
      <c r="E18" s="181" t="str">
        <f>IF(Tabela1[[#This Row],[ATIVIDADE]]="","",_xlfn.XLOOKUP(Tabela1[[#This Row],[ATIVIDADE]],Tabela13[ATIVIDADE],Tabela13[DANOS / IMPACTO],"",0))</f>
        <v/>
      </c>
      <c r="F18" s="180" t="str">
        <f>IF(Tabela1[[#This Row],[ATIVIDADE]]="","",_xlfn.XLOOKUP(Tabela1[[#This Row],[ATIVIDADE]],Tabela13[ATIVIDADE],Tabela13[RISCO],"",0))</f>
        <v/>
      </c>
      <c r="G18" s="187" t="str">
        <f>IF(Tabela1[[#This Row],[ATIVIDADE]]="","",_xlfn.XLOOKUP(Tabela1[[#This Row],[ATIVIDADE]],Tabela13[ATIVIDADE],Tabela13[SEVERI-DADE],"",0))</f>
        <v/>
      </c>
      <c r="H18" s="181" t="str">
        <f>IF(Tabela1[[#This Row],[ATIVIDADE]]="","",_xlfn.XLOOKUP(Tabela1[[#This Row],[ATIVIDADE]],Tabela13[ATIVIDADE],Tabela13[PROBA-BILIDA-DE],"",0))</f>
        <v/>
      </c>
      <c r="I18" s="180" t="str">
        <f>IFERROR(INDEX(Tabelas!$E$5:$I$9, MATCH(Tabela1[[#This Row],[PROBA-BILIDA-DE]], Tabelas!$D$5:$D$9, 0), MATCH(Tabela1[[#This Row],[SEVERI-DADE]], Tabelas!$E$4:$I$4, 0)),"")</f>
        <v/>
      </c>
      <c r="J18" s="187" t="str">
        <f>IF(Tabela1[[#This Row],[ATIVIDADE]]="","",_xlfn.XLOOKUP(Tabela1[[#This Row],[ATIVIDADE]],Tabela13[ATIVIDADE],Tabela13[ELIMINAÇÃO],"",0))</f>
        <v/>
      </c>
      <c r="K18" s="181" t="str">
        <f>IF(Tabela1[[#This Row],[ATIVIDADE]]="","",_xlfn.XLOOKUP(Tabela1[[#This Row],[ATIVIDADE]],Tabela13[ATIVIDADE],Tabela13[SUBSTITUIÇÃO],"",0))</f>
        <v/>
      </c>
      <c r="L18" s="181" t="str">
        <f>IF(Tabela1[[#This Row],[ATIVIDADE]]="","",_xlfn.XLOOKUP(Tabela1[[#This Row],[ATIVIDADE]],Tabela13[ATIVIDADE],Tabela13[CONTROLES DE ENGENHARIA],"",0))</f>
        <v/>
      </c>
      <c r="M18" s="181" t="str">
        <f>IF(Tabela1[[#This Row],[ATIVIDADE]]="","",_xlfn.XLOOKUP(Tabela1[[#This Row],[ATIVIDADE]],Tabela13[ATIVIDADE],Tabela13[SINALIZAÇÃO/ ALERTAS E/OU CONTROLE ADM],"",0))</f>
        <v/>
      </c>
      <c r="N18" s="180" t="str">
        <f>IF(Tabela1[[#This Row],[ATIVIDADE]]="","",_xlfn.XLOOKUP(Tabela1[[#This Row],[ATIVIDADE]],Tabela13[ATIVIDADE],Tabela13[EPI],"",0))</f>
        <v/>
      </c>
      <c r="O18" s="187" t="str">
        <f>IF(Tabela1[[#This Row],[ATIVIDADE]]="","",_xlfn.XLOOKUP(Tabela1[[#This Row],[ATIVIDADE]],Tabela13[ATIVIDADE],Tabela13[SEVERI-DADE ],"",0))</f>
        <v/>
      </c>
      <c r="P18" s="181" t="str">
        <f>IF(Tabela1[[#This Row],[ATIVIDADE]]="","",_xlfn.XLOOKUP(Tabela1[[#This Row],[ATIVIDADE]],Tabela13[ATIVIDADE],Tabela13[PROBA-BILIDA-DE ],"",0))</f>
        <v/>
      </c>
      <c r="Q18" s="180" t="str">
        <f>IFERROR(INDEX(Tabelas!$E$5:$I$9, MATCH(Tabela1[[#This Row],[PROBA-BILIDA-DE ]], Tabelas!$D$5:$D$9, 0), MATCH(Tabela1[[#This Row],[SEVERI-DADE ]], Tabelas!$E$4:$I$4, 0)),"")</f>
        <v/>
      </c>
      <c r="R18" s="180" t="str">
        <f>IF(Tabela1[[#This Row],[ATIVIDADE]]="","",_xlfn.XLOOKUP(Tabela1[[#This Row],[ATIVIDADE]],Tabela13[ATIVIDADE],Tabela13[CONTROLES ESPECÍFICOS],"",0))</f>
        <v/>
      </c>
    </row>
    <row r="19" spans="2:18" x14ac:dyDescent="0.25">
      <c r="B19" s="95"/>
      <c r="C19" s="95"/>
      <c r="D19" s="181" t="str">
        <f>IF(Tabela1[[#This Row],[ATIVIDADE]]="","",_xlfn.XLOOKUP(Tabela1[[#This Row],[ATIVIDADE]],Tabela13[ATIVIDADE],Tabela13[PERIGO],"",0))</f>
        <v/>
      </c>
      <c r="E19" s="181" t="str">
        <f>IF(Tabela1[[#This Row],[ATIVIDADE]]="","",_xlfn.XLOOKUP(Tabela1[[#This Row],[ATIVIDADE]],Tabela13[ATIVIDADE],Tabela13[DANOS / IMPACTO],"",0))</f>
        <v/>
      </c>
      <c r="F19" s="180" t="str">
        <f>IF(Tabela1[[#This Row],[ATIVIDADE]]="","",_xlfn.XLOOKUP(Tabela1[[#This Row],[ATIVIDADE]],Tabela13[ATIVIDADE],Tabela13[RISCO],"",0))</f>
        <v/>
      </c>
      <c r="G19" s="187" t="str">
        <f>IF(Tabela1[[#This Row],[ATIVIDADE]]="","",_xlfn.XLOOKUP(Tabela1[[#This Row],[ATIVIDADE]],Tabela13[ATIVIDADE],Tabela13[SEVERI-DADE],"",0))</f>
        <v/>
      </c>
      <c r="H19" s="181" t="str">
        <f>IF(Tabela1[[#This Row],[ATIVIDADE]]="","",_xlfn.XLOOKUP(Tabela1[[#This Row],[ATIVIDADE]],Tabela13[ATIVIDADE],Tabela13[PROBA-BILIDA-DE],"",0))</f>
        <v/>
      </c>
      <c r="I19" s="180" t="str">
        <f>IFERROR(INDEX(Tabelas!$E$5:$I$9, MATCH(Tabela1[[#This Row],[PROBA-BILIDA-DE]], Tabelas!$D$5:$D$9, 0), MATCH(Tabela1[[#This Row],[SEVERI-DADE]], Tabelas!$E$4:$I$4, 0)),"")</f>
        <v/>
      </c>
      <c r="J19" s="187" t="str">
        <f>IF(Tabela1[[#This Row],[ATIVIDADE]]="","",_xlfn.XLOOKUP(Tabela1[[#This Row],[ATIVIDADE]],Tabela13[ATIVIDADE],Tabela13[ELIMINAÇÃO],"",0))</f>
        <v/>
      </c>
      <c r="K19" s="181" t="str">
        <f>IF(Tabela1[[#This Row],[ATIVIDADE]]="","",_xlfn.XLOOKUP(Tabela1[[#This Row],[ATIVIDADE]],Tabela13[ATIVIDADE],Tabela13[SUBSTITUIÇÃO],"",0))</f>
        <v/>
      </c>
      <c r="L19" s="181" t="str">
        <f>IF(Tabela1[[#This Row],[ATIVIDADE]]="","",_xlfn.XLOOKUP(Tabela1[[#This Row],[ATIVIDADE]],Tabela13[ATIVIDADE],Tabela13[CONTROLES DE ENGENHARIA],"",0))</f>
        <v/>
      </c>
      <c r="M19" s="181" t="str">
        <f>IF(Tabela1[[#This Row],[ATIVIDADE]]="","",_xlfn.XLOOKUP(Tabela1[[#This Row],[ATIVIDADE]],Tabela13[ATIVIDADE],Tabela13[SINALIZAÇÃO/ ALERTAS E/OU CONTROLE ADM],"",0))</f>
        <v/>
      </c>
      <c r="N19" s="180" t="str">
        <f>IF(Tabela1[[#This Row],[ATIVIDADE]]="","",_xlfn.XLOOKUP(Tabela1[[#This Row],[ATIVIDADE]],Tabela13[ATIVIDADE],Tabela13[EPI],"",0))</f>
        <v/>
      </c>
      <c r="O19" s="187" t="str">
        <f>IF(Tabela1[[#This Row],[ATIVIDADE]]="","",_xlfn.XLOOKUP(Tabela1[[#This Row],[ATIVIDADE]],Tabela13[ATIVIDADE],Tabela13[SEVERI-DADE ],"",0))</f>
        <v/>
      </c>
      <c r="P19" s="181" t="str">
        <f>IF(Tabela1[[#This Row],[ATIVIDADE]]="","",_xlfn.XLOOKUP(Tabela1[[#This Row],[ATIVIDADE]],Tabela13[ATIVIDADE],Tabela13[PROBA-BILIDA-DE ],"",0))</f>
        <v/>
      </c>
      <c r="Q19" s="180" t="str">
        <f>IFERROR(INDEX(Tabelas!$E$5:$I$9, MATCH(Tabela1[[#This Row],[PROBA-BILIDA-DE ]], Tabelas!$D$5:$D$9, 0), MATCH(Tabela1[[#This Row],[SEVERI-DADE ]], Tabelas!$E$4:$I$4, 0)),"")</f>
        <v/>
      </c>
      <c r="R19" s="180" t="str">
        <f>IF(Tabela1[[#This Row],[ATIVIDADE]]="","",_xlfn.XLOOKUP(Tabela1[[#This Row],[ATIVIDADE]],Tabela13[ATIVIDADE],Tabela13[CONTROLES ESPECÍFICOS],"",0))</f>
        <v/>
      </c>
    </row>
    <row r="20" spans="2:18" x14ac:dyDescent="0.25">
      <c r="B20" s="95"/>
      <c r="C20" s="95"/>
      <c r="D20" s="181" t="str">
        <f>IF(Tabela1[[#This Row],[ATIVIDADE]]="","",_xlfn.XLOOKUP(Tabela1[[#This Row],[ATIVIDADE]],Tabela13[ATIVIDADE],Tabela13[PERIGO],"",0))</f>
        <v/>
      </c>
      <c r="E20" s="181" t="str">
        <f>IF(Tabela1[[#This Row],[ATIVIDADE]]="","",_xlfn.XLOOKUP(Tabela1[[#This Row],[ATIVIDADE]],Tabela13[ATIVIDADE],Tabela13[DANOS / IMPACTO],"",0))</f>
        <v/>
      </c>
      <c r="F20" s="180" t="str">
        <f>IF(Tabela1[[#This Row],[ATIVIDADE]]="","",_xlfn.XLOOKUP(Tabela1[[#This Row],[ATIVIDADE]],Tabela13[ATIVIDADE],Tabela13[RISCO],"",0))</f>
        <v/>
      </c>
      <c r="G20" s="187" t="str">
        <f>IF(Tabela1[[#This Row],[ATIVIDADE]]="","",_xlfn.XLOOKUP(Tabela1[[#This Row],[ATIVIDADE]],Tabela13[ATIVIDADE],Tabela13[SEVERI-DADE],"",0))</f>
        <v/>
      </c>
      <c r="H20" s="181" t="str">
        <f>IF(Tabela1[[#This Row],[ATIVIDADE]]="","",_xlfn.XLOOKUP(Tabela1[[#This Row],[ATIVIDADE]],Tabela13[ATIVIDADE],Tabela13[PROBA-BILIDA-DE],"",0))</f>
        <v/>
      </c>
      <c r="I20" s="180" t="str">
        <f>IFERROR(INDEX(Tabelas!$E$5:$I$9, MATCH(Tabela1[[#This Row],[PROBA-BILIDA-DE]], Tabelas!$D$5:$D$9, 0), MATCH(Tabela1[[#This Row],[SEVERI-DADE]], Tabelas!$E$4:$I$4, 0)),"")</f>
        <v/>
      </c>
      <c r="J20" s="187" t="str">
        <f>IF(Tabela1[[#This Row],[ATIVIDADE]]="","",_xlfn.XLOOKUP(Tabela1[[#This Row],[ATIVIDADE]],Tabela13[ATIVIDADE],Tabela13[ELIMINAÇÃO],"",0))</f>
        <v/>
      </c>
      <c r="K20" s="181" t="str">
        <f>IF(Tabela1[[#This Row],[ATIVIDADE]]="","",_xlfn.XLOOKUP(Tabela1[[#This Row],[ATIVIDADE]],Tabela13[ATIVIDADE],Tabela13[SUBSTITUIÇÃO],"",0))</f>
        <v/>
      </c>
      <c r="L20" s="181" t="str">
        <f>IF(Tabela1[[#This Row],[ATIVIDADE]]="","",_xlfn.XLOOKUP(Tabela1[[#This Row],[ATIVIDADE]],Tabela13[ATIVIDADE],Tabela13[CONTROLES DE ENGENHARIA],"",0))</f>
        <v/>
      </c>
      <c r="M20" s="181" t="str">
        <f>IF(Tabela1[[#This Row],[ATIVIDADE]]="","",_xlfn.XLOOKUP(Tabela1[[#This Row],[ATIVIDADE]],Tabela13[ATIVIDADE],Tabela13[SINALIZAÇÃO/ ALERTAS E/OU CONTROLE ADM],"",0))</f>
        <v/>
      </c>
      <c r="N20" s="180" t="str">
        <f>IF(Tabela1[[#This Row],[ATIVIDADE]]="","",_xlfn.XLOOKUP(Tabela1[[#This Row],[ATIVIDADE]],Tabela13[ATIVIDADE],Tabela13[EPI],"",0))</f>
        <v/>
      </c>
      <c r="O20" s="187" t="str">
        <f>IF(Tabela1[[#This Row],[ATIVIDADE]]="","",_xlfn.XLOOKUP(Tabela1[[#This Row],[ATIVIDADE]],Tabela13[ATIVIDADE],Tabela13[SEVERI-DADE ],"",0))</f>
        <v/>
      </c>
      <c r="P20" s="181" t="str">
        <f>IF(Tabela1[[#This Row],[ATIVIDADE]]="","",_xlfn.XLOOKUP(Tabela1[[#This Row],[ATIVIDADE]],Tabela13[ATIVIDADE],Tabela13[PROBA-BILIDA-DE ],"",0))</f>
        <v/>
      </c>
      <c r="Q20" s="180" t="str">
        <f>IFERROR(INDEX(Tabelas!$E$5:$I$9, MATCH(Tabela1[[#This Row],[PROBA-BILIDA-DE ]], Tabelas!$D$5:$D$9, 0), MATCH(Tabela1[[#This Row],[SEVERI-DADE ]], Tabelas!$E$4:$I$4, 0)),"")</f>
        <v/>
      </c>
      <c r="R20" s="181" t="str">
        <f>IF(Tabela1[[#This Row],[ATIVIDADE]]="","",_xlfn.XLOOKUP(Tabela1[[#This Row],[ATIVIDADE]],Tabela13[ATIVIDADE],Tabela13[CONTROLES ESPECÍFICOS],"",0))</f>
        <v/>
      </c>
    </row>
    <row r="21" spans="2:18" x14ac:dyDescent="0.25">
      <c r="B21" s="95"/>
      <c r="C21" s="95"/>
      <c r="D21" s="181" t="str">
        <f>IF(Tabela1[[#This Row],[ATIVIDADE]]="","",_xlfn.XLOOKUP(Tabela1[[#This Row],[ATIVIDADE]],Tabela13[ATIVIDADE],Tabela13[PERIGO],"",0))</f>
        <v/>
      </c>
      <c r="E21" s="181" t="str">
        <f>IF(Tabela1[[#This Row],[ATIVIDADE]]="","",_xlfn.XLOOKUP(Tabela1[[#This Row],[ATIVIDADE]],Tabela13[ATIVIDADE],Tabela13[DANOS / IMPACTO],"",0))</f>
        <v/>
      </c>
      <c r="F21" s="180" t="str">
        <f>IF(Tabela1[[#This Row],[ATIVIDADE]]="","",_xlfn.XLOOKUP(Tabela1[[#This Row],[ATIVIDADE]],Tabela13[ATIVIDADE],Tabela13[RISCO],"",0))</f>
        <v/>
      </c>
      <c r="G21" s="187" t="str">
        <f>IF(Tabela1[[#This Row],[ATIVIDADE]]="","",_xlfn.XLOOKUP(Tabela1[[#This Row],[ATIVIDADE]],Tabela13[ATIVIDADE],Tabela13[SEVERI-DADE],"",0))</f>
        <v/>
      </c>
      <c r="H21" s="181" t="str">
        <f>IF(Tabela1[[#This Row],[ATIVIDADE]]="","",_xlfn.XLOOKUP(Tabela1[[#This Row],[ATIVIDADE]],Tabela13[ATIVIDADE],Tabela13[PROBA-BILIDA-DE],"",0))</f>
        <v/>
      </c>
      <c r="I21" s="180" t="str">
        <f>IFERROR(INDEX(Tabelas!$E$5:$I$9, MATCH(Tabela1[[#This Row],[PROBA-BILIDA-DE]], Tabelas!$D$5:$D$9, 0), MATCH(Tabela1[[#This Row],[SEVERI-DADE]], Tabelas!$E$4:$I$4, 0)),"")</f>
        <v/>
      </c>
      <c r="J21" s="187" t="str">
        <f>IF(Tabela1[[#This Row],[ATIVIDADE]]="","",_xlfn.XLOOKUP(Tabela1[[#This Row],[ATIVIDADE]],Tabela13[ATIVIDADE],Tabela13[ELIMINAÇÃO],"",0))</f>
        <v/>
      </c>
      <c r="K21" s="181" t="str">
        <f>IF(Tabela1[[#This Row],[ATIVIDADE]]="","",_xlfn.XLOOKUP(Tabela1[[#This Row],[ATIVIDADE]],Tabela13[ATIVIDADE],Tabela13[SUBSTITUIÇÃO],"",0))</f>
        <v/>
      </c>
      <c r="L21" s="181" t="str">
        <f>IF(Tabela1[[#This Row],[ATIVIDADE]]="","",_xlfn.XLOOKUP(Tabela1[[#This Row],[ATIVIDADE]],Tabela13[ATIVIDADE],Tabela13[CONTROLES DE ENGENHARIA],"",0))</f>
        <v/>
      </c>
      <c r="M21" s="181" t="str">
        <f>IF(Tabela1[[#This Row],[ATIVIDADE]]="","",_xlfn.XLOOKUP(Tabela1[[#This Row],[ATIVIDADE]],Tabela13[ATIVIDADE],Tabela13[SINALIZAÇÃO/ ALERTAS E/OU CONTROLE ADM],"",0))</f>
        <v/>
      </c>
      <c r="N21" s="180" t="str">
        <f>IF(Tabela1[[#This Row],[ATIVIDADE]]="","",_xlfn.XLOOKUP(Tabela1[[#This Row],[ATIVIDADE]],Tabela13[ATIVIDADE],Tabela13[EPI],"",0))</f>
        <v/>
      </c>
      <c r="O21" s="187" t="str">
        <f>IF(Tabela1[[#This Row],[ATIVIDADE]]="","",_xlfn.XLOOKUP(Tabela1[[#This Row],[ATIVIDADE]],Tabela13[ATIVIDADE],Tabela13[SEVERI-DADE ],"",0))</f>
        <v/>
      </c>
      <c r="P21" s="181" t="str">
        <f>IF(Tabela1[[#This Row],[ATIVIDADE]]="","",_xlfn.XLOOKUP(Tabela1[[#This Row],[ATIVIDADE]],Tabela13[ATIVIDADE],Tabela13[PROBA-BILIDA-DE ],"",0))</f>
        <v/>
      </c>
      <c r="Q21" s="180" t="str">
        <f>IFERROR(INDEX(Tabelas!$E$5:$I$9, MATCH(Tabela1[[#This Row],[PROBA-BILIDA-DE ]], Tabelas!$D$5:$D$9, 0), MATCH(Tabela1[[#This Row],[SEVERI-DADE ]], Tabelas!$E$4:$I$4, 0)),"")</f>
        <v/>
      </c>
      <c r="R21" s="181" t="str">
        <f>IF(Tabela1[[#This Row],[ATIVIDADE]]="","",_xlfn.XLOOKUP(Tabela1[[#This Row],[ATIVIDADE]],Tabela13[ATIVIDADE],Tabela13[CONTROLES ESPECÍFICOS],"",0))</f>
        <v/>
      </c>
    </row>
    <row r="22" spans="2:18" x14ac:dyDescent="0.25">
      <c r="B22" s="95"/>
      <c r="C22" s="95"/>
      <c r="D22" s="181" t="str">
        <f>IF(Tabela1[[#This Row],[ATIVIDADE]]="","",_xlfn.XLOOKUP(Tabela1[[#This Row],[ATIVIDADE]],Tabela13[ATIVIDADE],Tabela13[PERIGO],"",0))</f>
        <v/>
      </c>
      <c r="E22" s="181" t="str">
        <f>IF(Tabela1[[#This Row],[ATIVIDADE]]="","",_xlfn.XLOOKUP(Tabela1[[#This Row],[ATIVIDADE]],Tabela13[ATIVIDADE],Tabela13[DANOS / IMPACTO],"",0))</f>
        <v/>
      </c>
      <c r="F22" s="180" t="str">
        <f>IF(Tabela1[[#This Row],[ATIVIDADE]]="","",_xlfn.XLOOKUP(Tabela1[[#This Row],[ATIVIDADE]],Tabela13[ATIVIDADE],Tabela13[RISCO],"",0))</f>
        <v/>
      </c>
      <c r="G22" s="187" t="str">
        <f>IF(Tabela1[[#This Row],[ATIVIDADE]]="","",_xlfn.XLOOKUP(Tabela1[[#This Row],[ATIVIDADE]],Tabela13[ATIVIDADE],Tabela13[SEVERI-DADE],"",0))</f>
        <v/>
      </c>
      <c r="H22" s="181" t="str">
        <f>IF(Tabela1[[#This Row],[ATIVIDADE]]="","",_xlfn.XLOOKUP(Tabela1[[#This Row],[ATIVIDADE]],Tabela13[ATIVIDADE],Tabela13[PROBA-BILIDA-DE],"",0))</f>
        <v/>
      </c>
      <c r="I22" s="180" t="str">
        <f>IFERROR(INDEX(Tabelas!$E$5:$I$9, MATCH(Tabela1[[#This Row],[PROBA-BILIDA-DE]], Tabelas!$D$5:$D$9, 0), MATCH(Tabela1[[#This Row],[SEVERI-DADE]], Tabelas!$E$4:$I$4, 0)),"")</f>
        <v/>
      </c>
      <c r="J22" s="187" t="str">
        <f>IF(Tabela1[[#This Row],[ATIVIDADE]]="","",_xlfn.XLOOKUP(Tabela1[[#This Row],[ATIVIDADE]],Tabela13[ATIVIDADE],Tabela13[ELIMINAÇÃO],"",0))</f>
        <v/>
      </c>
      <c r="K22" s="181" t="str">
        <f>IF(Tabela1[[#This Row],[ATIVIDADE]]="","",_xlfn.XLOOKUP(Tabela1[[#This Row],[ATIVIDADE]],Tabela13[ATIVIDADE],Tabela13[SUBSTITUIÇÃO],"",0))</f>
        <v/>
      </c>
      <c r="L22" s="181" t="str">
        <f>IF(Tabela1[[#This Row],[ATIVIDADE]]="","",_xlfn.XLOOKUP(Tabela1[[#This Row],[ATIVIDADE]],Tabela13[ATIVIDADE],Tabela13[CONTROLES DE ENGENHARIA],"",0))</f>
        <v/>
      </c>
      <c r="M22" s="181" t="str">
        <f>IF(Tabela1[[#This Row],[ATIVIDADE]]="","",_xlfn.XLOOKUP(Tabela1[[#This Row],[ATIVIDADE]],Tabela13[ATIVIDADE],Tabela13[SINALIZAÇÃO/ ALERTAS E/OU CONTROLE ADM],"",0))</f>
        <v/>
      </c>
      <c r="N22" s="180" t="str">
        <f>IF(Tabela1[[#This Row],[ATIVIDADE]]="","",_xlfn.XLOOKUP(Tabela1[[#This Row],[ATIVIDADE]],Tabela13[ATIVIDADE],Tabela13[EPI],"",0))</f>
        <v/>
      </c>
      <c r="O22" s="187" t="str">
        <f>IF(Tabela1[[#This Row],[ATIVIDADE]]="","",_xlfn.XLOOKUP(Tabela1[[#This Row],[ATIVIDADE]],Tabela13[ATIVIDADE],Tabela13[SEVERI-DADE ],"",0))</f>
        <v/>
      </c>
      <c r="P22" s="181" t="str">
        <f>IF(Tabela1[[#This Row],[ATIVIDADE]]="","",_xlfn.XLOOKUP(Tabela1[[#This Row],[ATIVIDADE]],Tabela13[ATIVIDADE],Tabela13[PROBA-BILIDA-DE ],"",0))</f>
        <v/>
      </c>
      <c r="Q22" s="180" t="str">
        <f>IFERROR(INDEX(Tabelas!$E$5:$I$9, MATCH(Tabela1[[#This Row],[PROBA-BILIDA-DE ]], Tabelas!$D$5:$D$9, 0), MATCH(Tabela1[[#This Row],[SEVERI-DADE ]], Tabelas!$E$4:$I$4, 0)),"")</f>
        <v/>
      </c>
      <c r="R22" s="180" t="str">
        <f>IF(Tabela1[[#This Row],[ATIVIDADE]]="","",_xlfn.XLOOKUP(Tabela1[[#This Row],[ATIVIDADE]],Tabela13[ATIVIDADE],Tabela13[CONTROLES ESPECÍFICOS],"",0))</f>
        <v/>
      </c>
    </row>
    <row r="23" spans="2:18" x14ac:dyDescent="0.25">
      <c r="B23" s="95"/>
      <c r="C23" s="95"/>
      <c r="D23" s="181" t="str">
        <f>IF(Tabela1[[#This Row],[ATIVIDADE]]="","",_xlfn.XLOOKUP(Tabela1[[#This Row],[ATIVIDADE]],Tabela13[ATIVIDADE],Tabela13[PERIGO],"",0))</f>
        <v/>
      </c>
      <c r="E23" s="181" t="str">
        <f>IF(Tabela1[[#This Row],[ATIVIDADE]]="","",_xlfn.XLOOKUP(Tabela1[[#This Row],[ATIVIDADE]],Tabela13[ATIVIDADE],Tabela13[DANOS / IMPACTO],"",0))</f>
        <v/>
      </c>
      <c r="F23" s="180" t="str">
        <f>IF(Tabela1[[#This Row],[ATIVIDADE]]="","",_xlfn.XLOOKUP(Tabela1[[#This Row],[ATIVIDADE]],Tabela13[ATIVIDADE],Tabela13[RISCO],"",0))</f>
        <v/>
      </c>
      <c r="G23" s="187" t="str">
        <f>IF(Tabela1[[#This Row],[ATIVIDADE]]="","",_xlfn.XLOOKUP(Tabela1[[#This Row],[ATIVIDADE]],Tabela13[ATIVIDADE],Tabela13[SEVERI-DADE],"",0))</f>
        <v/>
      </c>
      <c r="H23" s="181" t="str">
        <f>IF(Tabela1[[#This Row],[ATIVIDADE]]="","",_xlfn.XLOOKUP(Tabela1[[#This Row],[ATIVIDADE]],Tabela13[ATIVIDADE],Tabela13[PROBA-BILIDA-DE],"",0))</f>
        <v/>
      </c>
      <c r="I23" s="180" t="str">
        <f>IFERROR(INDEX(Tabelas!$E$5:$I$9, MATCH(Tabela1[[#This Row],[PROBA-BILIDA-DE]], Tabelas!$D$5:$D$9, 0), MATCH(Tabela1[[#This Row],[SEVERI-DADE]], Tabelas!$E$4:$I$4, 0)),"")</f>
        <v/>
      </c>
      <c r="J23" s="187" t="str">
        <f>IF(Tabela1[[#This Row],[ATIVIDADE]]="","",_xlfn.XLOOKUP(Tabela1[[#This Row],[ATIVIDADE]],Tabela13[ATIVIDADE],Tabela13[ELIMINAÇÃO],"",0))</f>
        <v/>
      </c>
      <c r="K23" s="181" t="str">
        <f>IF(Tabela1[[#This Row],[ATIVIDADE]]="","",_xlfn.XLOOKUP(Tabela1[[#This Row],[ATIVIDADE]],Tabela13[ATIVIDADE],Tabela13[SUBSTITUIÇÃO],"",0))</f>
        <v/>
      </c>
      <c r="L23" s="181" t="str">
        <f>IF(Tabela1[[#This Row],[ATIVIDADE]]="","",_xlfn.XLOOKUP(Tabela1[[#This Row],[ATIVIDADE]],Tabela13[ATIVIDADE],Tabela13[CONTROLES DE ENGENHARIA],"",0))</f>
        <v/>
      </c>
      <c r="M23" s="190" t="str">
        <f>IF(Tabela1[[#This Row],[ATIVIDADE]]="","",_xlfn.XLOOKUP(Tabela1[[#This Row],[ATIVIDADE]],Tabela13[ATIVIDADE],Tabela13[SINALIZAÇÃO/ ALERTAS E/OU CONTROLE ADM],"",0))</f>
        <v/>
      </c>
      <c r="N23" s="180" t="str">
        <f>IF(Tabela1[[#This Row],[ATIVIDADE]]="","",_xlfn.XLOOKUP(Tabela1[[#This Row],[ATIVIDADE]],Tabela13[ATIVIDADE],Tabela13[EPI],"",0))</f>
        <v/>
      </c>
      <c r="O23" s="187" t="str">
        <f>IF(Tabela1[[#This Row],[ATIVIDADE]]="","",_xlfn.XLOOKUP(Tabela1[[#This Row],[ATIVIDADE]],Tabela13[ATIVIDADE],Tabela13[SEVERI-DADE ],"",0))</f>
        <v/>
      </c>
      <c r="P23" s="181" t="str">
        <f>IF(Tabela1[[#This Row],[ATIVIDADE]]="","",_xlfn.XLOOKUP(Tabela1[[#This Row],[ATIVIDADE]],Tabela13[ATIVIDADE],Tabela13[PROBA-BILIDA-DE ],"",0))</f>
        <v/>
      </c>
      <c r="Q23" s="180" t="str">
        <f>IFERROR(INDEX(Tabelas!$E$5:$I$9, MATCH(Tabela1[[#This Row],[PROBA-BILIDA-DE ]], Tabelas!$D$5:$D$9, 0), MATCH(Tabela1[[#This Row],[SEVERI-DADE ]], Tabelas!$E$4:$I$4, 0)),"")</f>
        <v/>
      </c>
      <c r="R23" s="180" t="str">
        <f>IF(Tabela1[[#This Row],[ATIVIDADE]]="","",_xlfn.XLOOKUP(Tabela1[[#This Row],[ATIVIDADE]],Tabela13[ATIVIDADE],Tabela13[CONTROLES ESPECÍFICOS],"",0))</f>
        <v/>
      </c>
    </row>
    <row r="24" spans="2:18" x14ac:dyDescent="0.25">
      <c r="B24" s="97"/>
      <c r="C24" s="95"/>
      <c r="D24" s="181" t="str">
        <f>IF(Tabela1[[#This Row],[ATIVIDADE]]="","",_xlfn.XLOOKUP(Tabela1[[#This Row],[ATIVIDADE]],Tabela13[ATIVIDADE],Tabela13[PERIGO],"",0))</f>
        <v/>
      </c>
      <c r="E24" s="181" t="str">
        <f>IF(Tabela1[[#This Row],[ATIVIDADE]]="","",_xlfn.XLOOKUP(Tabela1[[#This Row],[ATIVIDADE]],Tabela13[ATIVIDADE],Tabela13[DANOS / IMPACTO],"",0))</f>
        <v/>
      </c>
      <c r="F24" s="180" t="str">
        <f>IF(Tabela1[[#This Row],[ATIVIDADE]]="","",_xlfn.XLOOKUP(Tabela1[[#This Row],[ATIVIDADE]],Tabela13[ATIVIDADE],Tabela13[RISCO],"",0))</f>
        <v/>
      </c>
      <c r="G24" s="187" t="str">
        <f>IF(Tabela1[[#This Row],[ATIVIDADE]]="","",_xlfn.XLOOKUP(Tabela1[[#This Row],[ATIVIDADE]],Tabela13[ATIVIDADE],Tabela13[SEVERI-DADE],"",0))</f>
        <v/>
      </c>
      <c r="H24" s="181" t="str">
        <f>IF(Tabela1[[#This Row],[ATIVIDADE]]="","",_xlfn.XLOOKUP(Tabela1[[#This Row],[ATIVIDADE]],Tabela13[ATIVIDADE],Tabela13[PROBA-BILIDA-DE],"",0))</f>
        <v/>
      </c>
      <c r="I24" s="180" t="str">
        <f>IFERROR(INDEX(Tabelas!$E$5:$I$9, MATCH(Tabela1[[#This Row],[PROBA-BILIDA-DE]], Tabelas!$D$5:$D$9, 0), MATCH(Tabela1[[#This Row],[SEVERI-DADE]], Tabelas!$E$4:$I$4, 0)),"")</f>
        <v/>
      </c>
      <c r="J24" s="187" t="str">
        <f>IF(Tabela1[[#This Row],[ATIVIDADE]]="","",_xlfn.XLOOKUP(Tabela1[[#This Row],[ATIVIDADE]],Tabela13[ATIVIDADE],Tabela13[ELIMINAÇÃO],"",0))</f>
        <v/>
      </c>
      <c r="K24" s="181" t="str">
        <f>IF(Tabela1[[#This Row],[ATIVIDADE]]="","",_xlfn.XLOOKUP(Tabela1[[#This Row],[ATIVIDADE]],Tabela13[ATIVIDADE],Tabela13[SUBSTITUIÇÃO],"",0))</f>
        <v/>
      </c>
      <c r="L24" s="181" t="str">
        <f>IF(Tabela1[[#This Row],[ATIVIDADE]]="","",_xlfn.XLOOKUP(Tabela1[[#This Row],[ATIVIDADE]],Tabela13[ATIVIDADE],Tabela13[CONTROLES DE ENGENHARIA],"",0))</f>
        <v/>
      </c>
      <c r="M24" s="181" t="str">
        <f>IF(Tabela1[[#This Row],[ATIVIDADE]]="","",_xlfn.XLOOKUP(Tabela1[[#This Row],[ATIVIDADE]],Tabela13[ATIVIDADE],Tabela13[SINALIZAÇÃO/ ALERTAS E/OU CONTROLE ADM],"",0))</f>
        <v/>
      </c>
      <c r="N24" s="180" t="str">
        <f>IF(Tabela1[[#This Row],[ATIVIDADE]]="","",_xlfn.XLOOKUP(Tabela1[[#This Row],[ATIVIDADE]],Tabela13[ATIVIDADE],Tabela13[EPI],"",0))</f>
        <v/>
      </c>
      <c r="O24" s="187" t="str">
        <f>IF(Tabela1[[#This Row],[ATIVIDADE]]="","",_xlfn.XLOOKUP(Tabela1[[#This Row],[ATIVIDADE]],Tabela13[ATIVIDADE],Tabela13[SEVERI-DADE ],"",0))</f>
        <v/>
      </c>
      <c r="P24" s="181" t="str">
        <f>IF(Tabela1[[#This Row],[ATIVIDADE]]="","",_xlfn.XLOOKUP(Tabela1[[#This Row],[ATIVIDADE]],Tabela13[ATIVIDADE],Tabela13[PROBA-BILIDA-DE ],"",0))</f>
        <v/>
      </c>
      <c r="Q24" s="180" t="str">
        <f>IFERROR(INDEX(Tabelas!$E$5:$I$9, MATCH(Tabela1[[#This Row],[PROBA-BILIDA-DE ]], Tabelas!$D$5:$D$9, 0), MATCH(Tabela1[[#This Row],[SEVERI-DADE ]], Tabelas!$E$4:$I$4, 0)),"")</f>
        <v/>
      </c>
      <c r="R24" s="180" t="str">
        <f>IF(Tabela1[[#This Row],[ATIVIDADE]]="","",_xlfn.XLOOKUP(Tabela1[[#This Row],[ATIVIDADE]],Tabela13[ATIVIDADE],Tabela13[CONTROLES ESPECÍFICOS],"",0))</f>
        <v/>
      </c>
    </row>
  </sheetData>
  <sheetProtection sheet="1" formatCells="0" formatColumns="0" formatRows="0" insertRows="0" sort="0" autoFilter="0" pivotTables="0"/>
  <mergeCells count="10">
    <mergeCell ref="K2:K3"/>
    <mergeCell ref="J2:J3"/>
    <mergeCell ref="B2:C4"/>
    <mergeCell ref="D2:I2"/>
    <mergeCell ref="D3:I4"/>
    <mergeCell ref="B6:R6"/>
    <mergeCell ref="B8:F8"/>
    <mergeCell ref="G8:I8"/>
    <mergeCell ref="J8:N8"/>
    <mergeCell ref="O8:R8"/>
  </mergeCells>
  <conditionalFormatting sqref="I10:I24 Q10:Q24">
    <cfRule type="containsText" dxfId="24" priority="1" operator="containsText" text="MUITO ALTO">
      <formula>NOT(ISERROR(SEARCH("MUITO ALTO",I10)))</formula>
    </cfRule>
    <cfRule type="containsText" dxfId="21" priority="4" operator="containsText" text="BAIXO">
      <formula>NOT(ISERROR(SEARCH("BAIXO",I10)))</formula>
    </cfRule>
  </conditionalFormatting>
  <dataValidations count="13">
    <dataValidation allowBlank="1" showInputMessage="1" showErrorMessage="1" promptTitle="Atividade" prompt="Descreva a atividade que será realizada." sqref="C9" xr:uid="{BD260C19-5187-4EE9-B7B7-852374CF3BAC}"/>
    <dataValidation allowBlank="1" showInputMessage="1" showErrorMessage="1" promptTitle="Risco" prompt="Descreva de forma curta e objetiva a possibilidade do dano ocorrer." sqref="F9:F24" xr:uid="{BDE19CE5-B41A-4855-A7F5-C65D79E7AA66}"/>
    <dataValidation allowBlank="1" showInputMessage="1" showErrorMessage="1" promptTitle="Danos/Impacto" prompt="Informe as consequências possíveis caso ocorra o evento perigoso." sqref="E9:E24" xr:uid="{38801717-2B19-461A-98E7-DE72B7FFFCCD}"/>
    <dataValidation allowBlank="1" showInputMessage="1" showErrorMessage="1" promptTitle="Área" prompt="Indique a localização física ou setor onde a atividade será realizada. Deve ser específico para facilitar a identificação e gestão do risco._x000a__x000a_Exemplos:_x000a_“Subestação 230 kV”_x000a_“Sala de comando”_x000a_“Área externa – setor de transformadores”_x000a_“Oficina mecânica”" sqref="B9" xr:uid="{0DAFDA34-A378-4FD0-9C43-5730E970D785}"/>
    <dataValidation allowBlank="1" showInputMessage="1" showErrorMessage="1" promptTitle="Controles Específicos" prompt="Liste medidas adicionais ou específicas aplicadas à atividade para reduzir o risco, além das hierarquizadas (eliminação, substituição, engenharia, sinalização e EPI)." sqref="R9:R24" xr:uid="{A064BCEE-3F77-4795-8CFE-AAFE3FB21038}"/>
    <dataValidation allowBlank="1" showInputMessage="1" showErrorMessage="1" promptTitle="EPI" prompt="Liste os Equipamentos de Proteção Individual necessários para reduzir o impacto caso ocorra o evento." sqref="N9:N24" xr:uid="{6DE7140B-0E17-4EFC-8FFD-460B088C302C}"/>
    <dataValidation allowBlank="1" showInputMessage="1" showErrorMessage="1" promptTitle="Sinalização/Alertas/Controle Adm" prompt="Indique medidas administrativas ou avisos para alertar e orientar os trabalhadores." sqref="M9:M24" xr:uid="{B11E651F-4487-491D-A77B-EBBC99B15639}"/>
    <dataValidation allowBlank="1" showInputMessage="1" showErrorMessage="1" promptTitle="Controles de Engenharia" prompt="Descreva barreiras físicas ou dispositivos que reduzem a exposição ao perigo." sqref="L9:L24" xr:uid="{0A2FF60D-250D-43BE-8CA3-1D82681D0649}"/>
    <dataValidation allowBlank="1" showInputMessage="1" showErrorMessage="1" promptTitle="Substituição" prompt="Informe se é possível substituir o processo, produto ou equipamento por outro menos perigoso." sqref="K9:K24" xr:uid="{B0A35397-9FAA-4F5B-8EEE-B2F5AFBF160D}"/>
    <dataValidation allowBlank="1" showInputMessage="1" showErrorMessage="1" promptTitle="Eliminação" prompt="Indique como eliminar completamente o perigo, removendo a fonte do risco." sqref="J9:J24" xr:uid="{A7BB5DFF-0E34-4D6B-AFAB-578CAB7ACD87}"/>
    <dataValidation allowBlank="1" showInputMessage="1" showErrorMessage="1" promptTitle="Perigo" prompt="Indique a fonte ou situação com potencial de causar dano." sqref="D9:D24" xr:uid="{B0174DF1-E498-48ED-95A2-951F18163F6E}"/>
    <dataValidation type="list" allowBlank="1" showInputMessage="1" showErrorMessage="1" errorTitle="Entrada inválida" error="Selecione o nível de probabilidade." promptTitle="PROBABILIDADE" prompt="1 (Raro)_x000a_2 (Improvável)_x000a_3 (Possível)_x000a_4 (Provável)_x000a_5 (Quase Certo)" sqref="P10:P24 H10:H24" xr:uid="{402CA491-5DEE-4EAC-9D6B-5A6984455299}">
      <formula1>"1,2,3,4,5"</formula1>
    </dataValidation>
    <dataValidation type="list" allowBlank="1" showInputMessage="1" showErrorMessage="1" errorTitle="Entrada inválida" error="Selecione o nível de severidade." promptTitle="SEVERIDADE" prompt="1 Leve (L)_x000a_2 Baixa (B)_x000a_3 Média (M)_x000a_4 Alta (A)_x000a_5 Muito Alta (MA)" sqref="O10:O24 G10:G24" xr:uid="{B69F0974-EE0E-4D14-A5CC-3DF238655BD0}">
      <formula1>"1,2,3,4,5"</formula1>
    </dataValidation>
  </dataValidations>
  <printOptions horizontalCentered="1"/>
  <pageMargins left="0.31496062992125984" right="0.31496062992125984" top="0.31496062992125984" bottom="0.43307086614173229" header="0.19685039370078741" footer="0.19685039370078741"/>
  <pageSetup paperSize="9" scale="53" fitToHeight="0" orientation="landscape" r:id="rId1"/>
  <headerFooter>
    <oddFooter>&amp;L&amp;12&amp;K0000FF&amp;A&amp;C&amp;12&amp;K0000FFPágina &amp;P de &amp;N&amp;R&amp;12&amp;K0000FFImpresso em: &amp;D &amp;T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163DD1D-4E48-48BD-8FC6-85486DE2A94C}">
            <xm:f>NOT(ISERROR(SEARCH("ALTO",I10)))</xm:f>
            <xm:f>"ALTO"</xm:f>
            <x14:dxf>
              <fill>
                <patternFill>
                  <bgColor rgb="FFFFC000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bottom style="thin">
                  <color theme="0"/>
                </bottom>
              </border>
            </x14:dxf>
          </x14:cfRule>
          <x14:cfRule type="containsText" priority="3" operator="containsText" id="{A25087E7-AC4F-4919-BBD3-65FDD82A25E7}">
            <xm:f>NOT(ISERROR(SEARCH("MÉDIO",I10)))</xm:f>
            <xm:f>"MÉDIO"</xm:f>
            <x14:dxf>
              <fill>
                <patternFill>
                  <bgColor rgb="FFFFFF00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bottom style="thin">
                  <color theme="0"/>
                </bottom>
              </border>
            </x14:dxf>
          </x14:cfRule>
          <xm:sqref>I10:I24 Q10:Q24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Atividade" prompt="Descreva a atividade que será realizada." xr:uid="{2CF3F5B4-5A8C-4A02-8AFC-96228DFECED2}">
          <x14:formula1>
            <xm:f>'APR (B.Dados)'!$C$10:$C$83</xm:f>
          </x14:formula1>
          <xm:sqref>C10:C24</xm:sqref>
        </x14:dataValidation>
        <x14:dataValidation type="list" allowBlank="1" showInputMessage="1" showErrorMessage="1" promptTitle="Área" prompt="Indique a localização física ou setor onde a atividade será realizada. Deve ser específico para facilitar a identificação e gestão do risco._x000a__x000a_Exemplos:_x000a_“Subestação 230 kV”_x000a_“Sala de comando”_x000a_“Área externa – setor de transformadores”_x000a_“Oficina mecânica”" xr:uid="{D55FCEDB-4665-4021-8007-C01606480FE9}">
          <x14:formula1>
            <xm:f>'APR (B.Dados)'!$B$10:$B$83</xm:f>
          </x14:formula1>
          <xm:sqref>B10:B24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C382-8FEC-4D98-826C-23999638EFDD}">
  <sheetPr codeName="Planilha4">
    <tabColor rgb="FF0066FF"/>
    <pageSetUpPr fitToPage="1"/>
  </sheetPr>
  <dimension ref="A1:CA68"/>
  <sheetViews>
    <sheetView showGridLines="0" zoomScale="120" zoomScaleNormal="120" zoomScaleSheetLayoutView="160" zoomScalePageLayoutView="85" workbookViewId="0">
      <selection activeCell="I3" sqref="I3:AN4"/>
    </sheetView>
  </sheetViews>
  <sheetFormatPr defaultColWidth="2.85546875" defaultRowHeight="14.25" x14ac:dyDescent="0.2"/>
  <cols>
    <col min="1" max="1" width="1.42578125" style="8" customWidth="1"/>
    <col min="2" max="3" width="2.42578125" style="9" customWidth="1"/>
    <col min="4" max="45" width="2.42578125" style="8" customWidth="1"/>
    <col min="46" max="51" width="2.42578125" style="9" customWidth="1"/>
    <col min="52" max="52" width="2.85546875" style="8"/>
    <col min="53" max="53" width="2.85546875" style="8" customWidth="1"/>
    <col min="54" max="54" width="2.85546875" style="2" customWidth="1"/>
    <col min="55" max="55" width="2.85546875" style="4" customWidth="1"/>
    <col min="56" max="79" width="2.85546875" style="4"/>
    <col min="80" max="16384" width="2.85546875" style="2"/>
  </cols>
  <sheetData>
    <row r="1" spans="1:54" ht="7.5" customHeight="1" thickBot="1" x14ac:dyDescent="0.25"/>
    <row r="2" spans="1:54" ht="15.75" customHeight="1" thickTop="1" x14ac:dyDescent="0.2">
      <c r="B2" s="340"/>
      <c r="C2" s="341"/>
      <c r="D2" s="341"/>
      <c r="E2" s="341"/>
      <c r="F2" s="341"/>
      <c r="G2" s="341"/>
      <c r="H2" s="341"/>
      <c r="I2" s="327" t="s">
        <v>278</v>
      </c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328"/>
      <c r="AN2" s="328"/>
      <c r="AO2" s="370" t="str">
        <f>PEX!AO2</f>
        <v>SI</v>
      </c>
      <c r="AP2" s="371"/>
      <c r="AQ2" s="371"/>
      <c r="AR2" s="371"/>
      <c r="AS2" s="373" t="str">
        <f>PEX!AS2</f>
        <v>00012345/25H</v>
      </c>
      <c r="AT2" s="373"/>
      <c r="AU2" s="373"/>
      <c r="AV2" s="373"/>
      <c r="AW2" s="373"/>
      <c r="AX2" s="373"/>
      <c r="AY2" s="373"/>
    </row>
    <row r="3" spans="1:54" ht="15" customHeight="1" thickBot="1" x14ac:dyDescent="0.25">
      <c r="B3" s="342"/>
      <c r="C3" s="343"/>
      <c r="D3" s="343"/>
      <c r="E3" s="343"/>
      <c r="F3" s="343"/>
      <c r="G3" s="343"/>
      <c r="H3" s="343"/>
      <c r="I3" s="329" t="s">
        <v>279</v>
      </c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72"/>
      <c r="AP3" s="212"/>
      <c r="AQ3" s="212"/>
      <c r="AR3" s="212"/>
      <c r="AS3" s="374"/>
      <c r="AT3" s="374"/>
      <c r="AU3" s="374"/>
      <c r="AV3" s="374"/>
      <c r="AW3" s="374"/>
      <c r="AX3" s="374"/>
      <c r="AY3" s="374"/>
    </row>
    <row r="4" spans="1:54" ht="15.75" customHeight="1" thickTop="1" thickBot="1" x14ac:dyDescent="0.25">
      <c r="B4" s="344"/>
      <c r="C4" s="345"/>
      <c r="D4" s="345"/>
      <c r="E4" s="345"/>
      <c r="F4" s="345"/>
      <c r="G4" s="345"/>
      <c r="H4" s="345"/>
      <c r="I4" s="331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75" t="s">
        <v>280</v>
      </c>
      <c r="AP4" s="376"/>
      <c r="AQ4" s="376"/>
      <c r="AR4" s="376"/>
      <c r="AS4" s="377">
        <f>PEX!H13</f>
        <v>45996</v>
      </c>
      <c r="AT4" s="377"/>
      <c r="AU4" s="377"/>
      <c r="AV4" s="377"/>
      <c r="AW4" s="377"/>
      <c r="AX4" s="377"/>
      <c r="AY4" s="377"/>
    </row>
    <row r="5" spans="1:54" s="4" customFormat="1" ht="7.5" customHeight="1" thickTop="1" x14ac:dyDescent="0.2"/>
    <row r="6" spans="1:54" x14ac:dyDescent="0.2">
      <c r="B6" s="367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368"/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9"/>
    </row>
    <row r="7" spans="1:54" ht="8.25" customHeight="1" x14ac:dyDescent="0.2">
      <c r="B7" s="381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  <c r="AI7" s="382"/>
      <c r="AJ7" s="382"/>
      <c r="AK7" s="382"/>
      <c r="AL7" s="382"/>
      <c r="AM7" s="382"/>
      <c r="AN7" s="382"/>
      <c r="AO7" s="382"/>
      <c r="AP7" s="382"/>
      <c r="AQ7" s="382"/>
      <c r="AR7" s="382"/>
      <c r="AS7" s="382"/>
      <c r="AT7" s="382"/>
      <c r="AU7" s="382"/>
      <c r="AV7" s="382"/>
      <c r="AW7" s="382"/>
      <c r="AX7" s="382"/>
      <c r="AY7" s="383"/>
    </row>
    <row r="8" spans="1:54" x14ac:dyDescent="0.2">
      <c r="B8" s="384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5"/>
      <c r="AK8" s="385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5"/>
      <c r="AW8" s="385"/>
      <c r="AX8" s="385"/>
      <c r="AY8" s="386"/>
    </row>
    <row r="9" spans="1:54" x14ac:dyDescent="0.2">
      <c r="B9" s="384"/>
      <c r="C9" s="385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  <c r="AR9" s="385"/>
      <c r="AS9" s="385"/>
      <c r="AT9" s="385"/>
      <c r="AU9" s="385"/>
      <c r="AV9" s="385"/>
      <c r="AW9" s="385"/>
      <c r="AX9" s="385"/>
      <c r="AY9" s="386"/>
    </row>
    <row r="10" spans="1:54" x14ac:dyDescent="0.2">
      <c r="B10" s="384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  <c r="AR10" s="385"/>
      <c r="AS10" s="385"/>
      <c r="AT10" s="385"/>
      <c r="AU10" s="385"/>
      <c r="AV10" s="385"/>
      <c r="AW10" s="385"/>
      <c r="AX10" s="385"/>
      <c r="AY10" s="386"/>
    </row>
    <row r="11" spans="1:54" x14ac:dyDescent="0.2">
      <c r="B11" s="384"/>
      <c r="C11" s="385"/>
      <c r="D11" s="385"/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  <c r="AV11" s="385"/>
      <c r="AW11" s="385"/>
      <c r="AX11" s="385"/>
      <c r="AY11" s="386"/>
    </row>
    <row r="12" spans="1:54" x14ac:dyDescent="0.2">
      <c r="B12" s="384"/>
      <c r="C12" s="385"/>
      <c r="D12" s="385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  <c r="AA12" s="385"/>
      <c r="AB12" s="385"/>
      <c r="AC12" s="385"/>
      <c r="AD12" s="385"/>
      <c r="AE12" s="38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5"/>
      <c r="AP12" s="385"/>
      <c r="AQ12" s="385"/>
      <c r="AR12" s="385"/>
      <c r="AS12" s="385"/>
      <c r="AT12" s="385"/>
      <c r="AU12" s="385"/>
      <c r="AV12" s="385"/>
      <c r="AW12" s="385"/>
      <c r="AX12" s="385"/>
      <c r="AY12" s="386"/>
    </row>
    <row r="13" spans="1:54" x14ac:dyDescent="0.2">
      <c r="B13" s="384"/>
      <c r="C13" s="385"/>
      <c r="D13" s="385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  <c r="AV13" s="385"/>
      <c r="AW13" s="385"/>
      <c r="AX13" s="385"/>
      <c r="AY13" s="386"/>
    </row>
    <row r="14" spans="1:54" s="4" customFormat="1" x14ac:dyDescent="0.2">
      <c r="A14" s="8"/>
      <c r="B14" s="384"/>
      <c r="C14" s="385"/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  <c r="AX14" s="385"/>
      <c r="AY14" s="386"/>
      <c r="AZ14" s="8"/>
      <c r="BA14" s="8"/>
      <c r="BB14" s="2"/>
    </row>
    <row r="15" spans="1:54" s="4" customFormat="1" x14ac:dyDescent="0.2">
      <c r="A15" s="8"/>
      <c r="B15" s="384"/>
      <c r="C15" s="385"/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  <c r="AX15" s="385"/>
      <c r="AY15" s="386"/>
      <c r="AZ15" s="8"/>
      <c r="BA15" s="8"/>
      <c r="BB15" s="2"/>
    </row>
    <row r="16" spans="1:54" s="4" customFormat="1" x14ac:dyDescent="0.2">
      <c r="A16" s="8"/>
      <c r="B16" s="384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5"/>
      <c r="AS16" s="385"/>
      <c r="AT16" s="385"/>
      <c r="AU16" s="385"/>
      <c r="AV16" s="385"/>
      <c r="AW16" s="385"/>
      <c r="AX16" s="385"/>
      <c r="AY16" s="386"/>
      <c r="AZ16" s="8"/>
      <c r="BA16" s="8"/>
      <c r="BB16" s="2"/>
    </row>
    <row r="17" spans="1:79" s="4" customFormat="1" x14ac:dyDescent="0.2">
      <c r="A17" s="8"/>
      <c r="B17" s="384"/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385"/>
      <c r="AL17" s="385"/>
      <c r="AM17" s="385"/>
      <c r="AN17" s="385"/>
      <c r="AO17" s="385"/>
      <c r="AP17" s="385"/>
      <c r="AQ17" s="385"/>
      <c r="AR17" s="385"/>
      <c r="AS17" s="385"/>
      <c r="AT17" s="385"/>
      <c r="AU17" s="385"/>
      <c r="AV17" s="385"/>
      <c r="AW17" s="385"/>
      <c r="AX17" s="385"/>
      <c r="AY17" s="386"/>
      <c r="AZ17" s="8"/>
      <c r="BA17" s="8"/>
      <c r="BB17" s="2"/>
    </row>
    <row r="18" spans="1:79" s="4" customFormat="1" x14ac:dyDescent="0.2">
      <c r="A18" s="8"/>
      <c r="B18" s="384"/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  <c r="AA18" s="385"/>
      <c r="AB18" s="385"/>
      <c r="AC18" s="385"/>
      <c r="AD18" s="385"/>
      <c r="AE18" s="385"/>
      <c r="AF18" s="385"/>
      <c r="AG18" s="385"/>
      <c r="AH18" s="385"/>
      <c r="AI18" s="385"/>
      <c r="AJ18" s="385"/>
      <c r="AK18" s="385"/>
      <c r="AL18" s="385"/>
      <c r="AM18" s="385"/>
      <c r="AN18" s="385"/>
      <c r="AO18" s="385"/>
      <c r="AP18" s="385"/>
      <c r="AQ18" s="385"/>
      <c r="AR18" s="385"/>
      <c r="AS18" s="385"/>
      <c r="AT18" s="385"/>
      <c r="AU18" s="385"/>
      <c r="AV18" s="385"/>
      <c r="AW18" s="385"/>
      <c r="AX18" s="385"/>
      <c r="AY18" s="386"/>
      <c r="AZ18" s="8"/>
      <c r="BA18" s="8"/>
      <c r="BB18" s="2"/>
    </row>
    <row r="19" spans="1:79" s="4" customFormat="1" x14ac:dyDescent="0.2">
      <c r="A19" s="8"/>
      <c r="B19" s="384"/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5"/>
      <c r="AM19" s="385"/>
      <c r="AN19" s="385"/>
      <c r="AO19" s="385"/>
      <c r="AP19" s="385"/>
      <c r="AQ19" s="385"/>
      <c r="AR19" s="385"/>
      <c r="AS19" s="385"/>
      <c r="AT19" s="385"/>
      <c r="AU19" s="385"/>
      <c r="AV19" s="385"/>
      <c r="AW19" s="385"/>
      <c r="AX19" s="385"/>
      <c r="AY19" s="386"/>
      <c r="AZ19" s="8"/>
      <c r="BA19" s="8"/>
      <c r="BB19" s="2"/>
    </row>
    <row r="20" spans="1:79" s="4" customFormat="1" x14ac:dyDescent="0.2">
      <c r="A20" s="8"/>
      <c r="B20" s="384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5"/>
      <c r="AD20" s="385"/>
      <c r="AE20" s="385"/>
      <c r="AF20" s="385"/>
      <c r="AG20" s="385"/>
      <c r="AH20" s="385"/>
      <c r="AI20" s="385"/>
      <c r="AJ20" s="385"/>
      <c r="AK20" s="385"/>
      <c r="AL20" s="385"/>
      <c r="AM20" s="385"/>
      <c r="AN20" s="385"/>
      <c r="AO20" s="385"/>
      <c r="AP20" s="385"/>
      <c r="AQ20" s="385"/>
      <c r="AR20" s="385"/>
      <c r="AS20" s="385"/>
      <c r="AT20" s="385"/>
      <c r="AU20" s="385"/>
      <c r="AV20" s="385"/>
      <c r="AW20" s="385"/>
      <c r="AX20" s="385"/>
      <c r="AY20" s="386"/>
      <c r="AZ20" s="8"/>
      <c r="BA20" s="8"/>
      <c r="BB20" s="2"/>
    </row>
    <row r="21" spans="1:79" s="3" customFormat="1" x14ac:dyDescent="0.2">
      <c r="A21" s="8"/>
      <c r="B21" s="384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385"/>
      <c r="AT21" s="385"/>
      <c r="AU21" s="385"/>
      <c r="AV21" s="385"/>
      <c r="AW21" s="385"/>
      <c r="AX21" s="385"/>
      <c r="AY21" s="386"/>
      <c r="AZ21" s="8"/>
      <c r="BA21" s="8"/>
      <c r="BB21" s="2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s="3" customFormat="1" x14ac:dyDescent="0.2">
      <c r="A22" s="8"/>
      <c r="B22" s="384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6"/>
      <c r="AZ22" s="8"/>
      <c r="BA22" s="8"/>
      <c r="BB22" s="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s="3" customFormat="1" x14ac:dyDescent="0.2">
      <c r="A23" s="8"/>
      <c r="B23" s="384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6"/>
      <c r="AZ23" s="8"/>
      <c r="BA23" s="8"/>
      <c r="BB23" s="2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s="3" customFormat="1" x14ac:dyDescent="0.2">
      <c r="A24" s="8"/>
      <c r="B24" s="384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6"/>
      <c r="AZ24" s="8"/>
      <c r="BA24" s="8"/>
      <c r="BB24" s="2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s="3" customFormat="1" x14ac:dyDescent="0.2">
      <c r="A25" s="8"/>
      <c r="B25" s="384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6"/>
      <c r="AZ25" s="8"/>
      <c r="BA25" s="8"/>
      <c r="BB25" s="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s="3" customFormat="1" x14ac:dyDescent="0.2">
      <c r="A26" s="8"/>
      <c r="B26" s="384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6"/>
      <c r="AZ26" s="8"/>
      <c r="BA26" s="8"/>
      <c r="BB26" s="2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s="3" customFormat="1" x14ac:dyDescent="0.2">
      <c r="A27" s="8"/>
      <c r="B27" s="384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6"/>
      <c r="AZ27" s="8"/>
      <c r="BA27" s="8"/>
      <c r="BB27" s="2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s="3" customFormat="1" x14ac:dyDescent="0.2">
      <c r="A28" s="8"/>
      <c r="B28" s="384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85"/>
      <c r="AJ28" s="385"/>
      <c r="AK28" s="385"/>
      <c r="AL28" s="385"/>
      <c r="AM28" s="385"/>
      <c r="AN28" s="385"/>
      <c r="AO28" s="385"/>
      <c r="AP28" s="385"/>
      <c r="AQ28" s="385"/>
      <c r="AR28" s="385"/>
      <c r="AS28" s="385"/>
      <c r="AT28" s="385"/>
      <c r="AU28" s="385"/>
      <c r="AV28" s="385"/>
      <c r="AW28" s="385"/>
      <c r="AX28" s="385"/>
      <c r="AY28" s="386"/>
      <c r="AZ28" s="8"/>
      <c r="BA28" s="8"/>
      <c r="BB28" s="2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s="3" customFormat="1" x14ac:dyDescent="0.2">
      <c r="A29" s="8"/>
      <c r="B29" s="384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6"/>
      <c r="AZ29" s="8"/>
      <c r="BA29" s="8"/>
      <c r="BB29" s="2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s="3" customFormat="1" x14ac:dyDescent="0.2">
      <c r="A30" s="8"/>
      <c r="B30" s="384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6"/>
      <c r="AZ30" s="8"/>
      <c r="BA30" s="8"/>
      <c r="BB30" s="2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s="3" customFormat="1" x14ac:dyDescent="0.2">
      <c r="A31" s="8"/>
      <c r="B31" s="384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6"/>
      <c r="AZ31" s="8"/>
      <c r="BA31" s="8"/>
      <c r="BB31" s="2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s="3" customFormat="1" x14ac:dyDescent="0.2">
      <c r="A32" s="8"/>
      <c r="B32" s="384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6"/>
      <c r="AZ32" s="8"/>
      <c r="BA32" s="8"/>
      <c r="BB32" s="2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s="3" customFormat="1" x14ac:dyDescent="0.2">
      <c r="A33" s="8"/>
      <c r="B33" s="384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6"/>
      <c r="AZ33" s="8"/>
      <c r="BA33" s="8"/>
      <c r="BB33" s="2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s="3" customFormat="1" x14ac:dyDescent="0.2">
      <c r="A34" s="8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6"/>
      <c r="AZ34" s="8"/>
      <c r="BA34" s="8"/>
      <c r="BB34" s="2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s="3" customFormat="1" x14ac:dyDescent="0.2">
      <c r="A35" s="8"/>
      <c r="B35" s="384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6"/>
      <c r="AZ35" s="8"/>
      <c r="BA35" s="8"/>
      <c r="BB35" s="2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s="3" customFormat="1" x14ac:dyDescent="0.2">
      <c r="A36" s="8"/>
      <c r="B36" s="384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6"/>
      <c r="AZ36" s="8"/>
      <c r="BA36" s="8"/>
      <c r="BB36" s="2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s="3" customFormat="1" x14ac:dyDescent="0.2">
      <c r="A37" s="8"/>
      <c r="B37" s="384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5"/>
      <c r="AL37" s="385"/>
      <c r="AM37" s="385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6"/>
      <c r="AZ37" s="8"/>
      <c r="BA37" s="8"/>
      <c r="BB37" s="2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s="3" customFormat="1" x14ac:dyDescent="0.2">
      <c r="A38" s="8"/>
      <c r="B38" s="384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6"/>
      <c r="AZ38" s="8"/>
      <c r="BA38" s="8"/>
      <c r="BB38" s="2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s="3" customFormat="1" x14ac:dyDescent="0.2">
      <c r="A39" s="8"/>
      <c r="B39" s="384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6"/>
      <c r="AZ39" s="8"/>
      <c r="BA39" s="8"/>
      <c r="BB39" s="2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s="3" customFormat="1" x14ac:dyDescent="0.2">
      <c r="A40" s="8"/>
      <c r="B40" s="384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  <c r="AK40" s="385"/>
      <c r="AL40" s="385"/>
      <c r="AM40" s="385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6"/>
      <c r="AZ40" s="8"/>
      <c r="BA40" s="8"/>
      <c r="BB40" s="2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s="3" customFormat="1" x14ac:dyDescent="0.2">
      <c r="A41" s="8"/>
      <c r="B41" s="384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5"/>
      <c r="AL41" s="385"/>
      <c r="AM41" s="385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6"/>
      <c r="AZ41" s="8"/>
      <c r="BA41" s="8"/>
      <c r="BB41" s="2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s="3" customFormat="1" x14ac:dyDescent="0.2">
      <c r="A42" s="8"/>
      <c r="B42" s="384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5"/>
      <c r="AL42" s="385"/>
      <c r="AM42" s="385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6"/>
      <c r="AZ42" s="8"/>
      <c r="BA42" s="8"/>
      <c r="BB42" s="2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s="3" customFormat="1" x14ac:dyDescent="0.2">
      <c r="A43" s="8"/>
      <c r="B43" s="384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6"/>
      <c r="AZ43" s="8"/>
      <c r="BA43" s="8"/>
      <c r="BB43" s="2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s="3" customFormat="1" x14ac:dyDescent="0.2">
      <c r="A44" s="8"/>
      <c r="B44" s="384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6"/>
      <c r="AZ44" s="8"/>
      <c r="BA44" s="8"/>
      <c r="BB44" s="2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s="3" customFormat="1" x14ac:dyDescent="0.2">
      <c r="A45" s="8"/>
      <c r="B45" s="384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6"/>
      <c r="AZ45" s="8"/>
      <c r="BA45" s="8"/>
      <c r="BB45" s="2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s="3" customFormat="1" x14ac:dyDescent="0.2">
      <c r="A46" s="8"/>
      <c r="B46" s="384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6"/>
      <c r="AZ46" s="8"/>
      <c r="BA46" s="8"/>
      <c r="BB46" s="2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s="3" customFormat="1" x14ac:dyDescent="0.2">
      <c r="A47" s="8"/>
      <c r="B47" s="384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6"/>
      <c r="AZ47" s="8"/>
      <c r="BA47" s="8"/>
      <c r="BB47" s="2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s="3" customFormat="1" x14ac:dyDescent="0.2">
      <c r="A48" s="8"/>
      <c r="B48" s="384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6"/>
      <c r="AZ48" s="8"/>
      <c r="BA48" s="8"/>
      <c r="BB48" s="2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s="3" customFormat="1" x14ac:dyDescent="0.2">
      <c r="A49" s="8"/>
      <c r="B49" s="384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6"/>
      <c r="AZ49" s="8"/>
      <c r="BA49" s="8"/>
      <c r="BB49" s="2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s="3" customFormat="1" x14ac:dyDescent="0.2">
      <c r="A50" s="8"/>
      <c r="B50" s="384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6"/>
      <c r="AZ50" s="8"/>
      <c r="BA50" s="8"/>
      <c r="BB50" s="2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s="3" customFormat="1" x14ac:dyDescent="0.2">
      <c r="A51" s="8"/>
      <c r="B51" s="384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6"/>
      <c r="AZ51" s="8"/>
      <c r="BA51" s="8"/>
      <c r="BB51" s="2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s="3" customFormat="1" x14ac:dyDescent="0.2">
      <c r="A52" s="8"/>
      <c r="B52" s="384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6"/>
      <c r="AZ52" s="8"/>
      <c r="BA52" s="8"/>
      <c r="BB52" s="2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s="3" customFormat="1" x14ac:dyDescent="0.2">
      <c r="A53" s="8"/>
      <c r="B53" s="384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6"/>
      <c r="AZ53" s="8"/>
      <c r="BA53" s="8"/>
      <c r="BB53" s="2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s="3" customFormat="1" x14ac:dyDescent="0.2">
      <c r="A54" s="8"/>
      <c r="B54" s="384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6"/>
      <c r="AZ54" s="8"/>
      <c r="BA54" s="8"/>
      <c r="BB54" s="2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s="3" customFormat="1" x14ac:dyDescent="0.2">
      <c r="A55" s="8"/>
      <c r="B55" s="384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6"/>
      <c r="AZ55" s="8"/>
      <c r="BA55" s="8"/>
      <c r="BB55" s="2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s="3" customFormat="1" x14ac:dyDescent="0.2">
      <c r="A56" s="8"/>
      <c r="B56" s="384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6"/>
      <c r="AZ56" s="8"/>
      <c r="BA56" s="8"/>
      <c r="BB56" s="2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s="3" customFormat="1" x14ac:dyDescent="0.2">
      <c r="A57" s="8"/>
      <c r="B57" s="384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6"/>
      <c r="AZ57" s="8"/>
      <c r="BA57" s="8"/>
      <c r="BB57" s="2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s="3" customFormat="1" x14ac:dyDescent="0.2">
      <c r="A58" s="8"/>
      <c r="B58" s="384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6"/>
      <c r="AZ58" s="8"/>
      <c r="BA58" s="8"/>
      <c r="BB58" s="2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s="4" customFormat="1" x14ac:dyDescent="0.2">
      <c r="A59" s="8"/>
      <c r="B59" s="384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6"/>
      <c r="AZ59" s="8"/>
      <c r="BA59" s="8"/>
      <c r="BB59" s="2"/>
    </row>
    <row r="60" spans="1:79" s="4" customFormat="1" x14ac:dyDescent="0.2">
      <c r="A60" s="8"/>
      <c r="B60" s="384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6"/>
      <c r="AZ60" s="8"/>
      <c r="BA60" s="8"/>
      <c r="BB60" s="2"/>
    </row>
    <row r="61" spans="1:79" s="4" customFormat="1" x14ac:dyDescent="0.2">
      <c r="A61" s="8"/>
      <c r="B61" s="384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6"/>
      <c r="AZ61" s="8"/>
      <c r="BA61" s="8"/>
      <c r="BB61" s="2"/>
    </row>
    <row r="62" spans="1:79" s="4" customFormat="1" x14ac:dyDescent="0.2">
      <c r="A62" s="8"/>
      <c r="B62" s="384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6"/>
      <c r="AZ62" s="8"/>
      <c r="BA62" s="8"/>
      <c r="BB62" s="2"/>
    </row>
    <row r="63" spans="1:79" s="4" customFormat="1" ht="18" customHeight="1" x14ac:dyDescent="0.2">
      <c r="A63" s="8"/>
      <c r="B63" s="378" t="s">
        <v>281</v>
      </c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  <c r="AD63" s="379"/>
      <c r="AE63" s="379"/>
      <c r="AF63" s="379"/>
      <c r="AG63" s="379"/>
      <c r="AH63" s="379"/>
      <c r="AI63" s="379"/>
      <c r="AJ63" s="379"/>
      <c r="AK63" s="379"/>
      <c r="AL63" s="379"/>
      <c r="AM63" s="379"/>
      <c r="AN63" s="379"/>
      <c r="AO63" s="379"/>
      <c r="AP63" s="379"/>
      <c r="AQ63" s="379"/>
      <c r="AR63" s="379"/>
      <c r="AS63" s="379"/>
      <c r="AT63" s="379"/>
      <c r="AU63" s="379"/>
      <c r="AV63" s="379"/>
      <c r="AW63" s="379"/>
      <c r="AX63" s="379"/>
      <c r="AY63" s="380"/>
      <c r="AZ63" s="8"/>
      <c r="BA63" s="8"/>
      <c r="BB63" s="2"/>
    </row>
    <row r="64" spans="1:79" s="4" customFormat="1" x14ac:dyDescent="0.2">
      <c r="A64" s="8"/>
      <c r="B64" s="402" t="s">
        <v>282</v>
      </c>
      <c r="C64" s="403"/>
      <c r="D64" s="403"/>
      <c r="E64" s="403"/>
      <c r="F64" s="403"/>
      <c r="G64" s="403"/>
      <c r="H64" s="403"/>
      <c r="I64" s="403"/>
      <c r="J64" s="403"/>
      <c r="K64" s="403"/>
      <c r="L64" s="403"/>
      <c r="M64" s="403"/>
      <c r="N64" s="403"/>
      <c r="O64" s="403"/>
      <c r="P64" s="404"/>
      <c r="Q64" s="387" t="s">
        <v>283</v>
      </c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9"/>
      <c r="AZ64" s="8"/>
      <c r="BA64" s="8"/>
      <c r="BB64" s="2"/>
    </row>
    <row r="65" spans="1:54" s="4" customFormat="1" x14ac:dyDescent="0.2">
      <c r="A65" s="8"/>
      <c r="B65" s="112"/>
      <c r="C65" s="113"/>
      <c r="D65" s="114"/>
      <c r="E65" s="114"/>
      <c r="F65" s="393">
        <v>6</v>
      </c>
      <c r="G65" s="393"/>
      <c r="H65" s="395" t="s">
        <v>284</v>
      </c>
      <c r="I65" s="395"/>
      <c r="J65" s="395"/>
      <c r="K65" s="395"/>
      <c r="L65" s="395"/>
      <c r="M65" s="113"/>
      <c r="N65" s="113"/>
      <c r="O65" s="113"/>
      <c r="P65" s="115"/>
      <c r="Q65" s="397"/>
      <c r="R65" s="346"/>
      <c r="S65" s="346"/>
      <c r="T65" s="346"/>
      <c r="U65" s="346"/>
      <c r="V65" s="346"/>
      <c r="W65" s="346"/>
      <c r="X65" s="346"/>
      <c r="Y65" s="346"/>
      <c r="Z65" s="346"/>
      <c r="AA65" s="346"/>
      <c r="AB65" s="346"/>
      <c r="AC65" s="346"/>
      <c r="AD65" s="346"/>
      <c r="AE65" s="346"/>
      <c r="AF65" s="346"/>
      <c r="AG65" s="346"/>
      <c r="AH65" s="346"/>
      <c r="AI65" s="346"/>
      <c r="AJ65" s="346"/>
      <c r="AK65" s="346"/>
      <c r="AL65" s="346"/>
      <c r="AM65" s="346"/>
      <c r="AN65" s="346"/>
      <c r="AO65" s="346"/>
      <c r="AP65" s="346"/>
      <c r="AQ65" s="346"/>
      <c r="AR65" s="346"/>
      <c r="AS65" s="346"/>
      <c r="AT65" s="346"/>
      <c r="AU65" s="346"/>
      <c r="AV65" s="346"/>
      <c r="AW65" s="346"/>
      <c r="AX65" s="346"/>
      <c r="AY65" s="398"/>
      <c r="AZ65" s="8"/>
      <c r="BA65" s="8"/>
      <c r="BB65" s="2"/>
    </row>
    <row r="66" spans="1:54" s="4" customFormat="1" x14ac:dyDescent="0.2">
      <c r="A66" s="8"/>
      <c r="B66" s="116"/>
      <c r="C66" s="117"/>
      <c r="D66" s="118"/>
      <c r="E66" s="118"/>
      <c r="F66" s="394"/>
      <c r="G66" s="394"/>
      <c r="H66" s="396"/>
      <c r="I66" s="396"/>
      <c r="J66" s="396"/>
      <c r="K66" s="396"/>
      <c r="L66" s="396"/>
      <c r="M66" s="117"/>
      <c r="N66" s="117"/>
      <c r="O66" s="117"/>
      <c r="P66" s="119"/>
      <c r="Q66" s="399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400"/>
      <c r="AG66" s="400"/>
      <c r="AH66" s="400"/>
      <c r="AI66" s="400"/>
      <c r="AJ66" s="400"/>
      <c r="AK66" s="400"/>
      <c r="AL66" s="400"/>
      <c r="AM66" s="400"/>
      <c r="AN66" s="400"/>
      <c r="AO66" s="400"/>
      <c r="AP66" s="400"/>
      <c r="AQ66" s="400"/>
      <c r="AR66" s="400"/>
      <c r="AS66" s="400"/>
      <c r="AT66" s="400"/>
      <c r="AU66" s="400"/>
      <c r="AV66" s="400"/>
      <c r="AW66" s="400"/>
      <c r="AX66" s="400"/>
      <c r="AY66" s="401"/>
      <c r="AZ66" s="8"/>
      <c r="BA66" s="8"/>
      <c r="BB66" s="2"/>
    </row>
    <row r="67" spans="1:54" s="4" customFormat="1" x14ac:dyDescent="0.2">
      <c r="A67" s="8"/>
      <c r="B67" s="387" t="s">
        <v>285</v>
      </c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9"/>
      <c r="W67" s="387" t="s">
        <v>286</v>
      </c>
      <c r="X67" s="388"/>
      <c r="Y67" s="388"/>
      <c r="Z67" s="388"/>
      <c r="AA67" s="388"/>
      <c r="AB67" s="388"/>
      <c r="AC67" s="388"/>
      <c r="AD67" s="388"/>
      <c r="AE67" s="388"/>
      <c r="AF67" s="389"/>
      <c r="AG67" s="387" t="s">
        <v>287</v>
      </c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9"/>
      <c r="AZ67" s="8"/>
      <c r="BA67" s="8"/>
      <c r="BB67" s="2"/>
    </row>
    <row r="68" spans="1:54" s="4" customFormat="1" ht="22.5" customHeight="1" x14ac:dyDescent="0.2">
      <c r="A68" s="8"/>
      <c r="B68" s="390" t="str">
        <f>PEX!H8</f>
        <v>DOUGLAS HIGINO DOS SANTOS</v>
      </c>
      <c r="C68" s="391"/>
      <c r="D68" s="391"/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2"/>
      <c r="W68" s="390">
        <f>PEX!AG8</f>
        <v>268186</v>
      </c>
      <c r="X68" s="391"/>
      <c r="Y68" s="391"/>
      <c r="Z68" s="391"/>
      <c r="AA68" s="391"/>
      <c r="AB68" s="391"/>
      <c r="AC68" s="391"/>
      <c r="AD68" s="391"/>
      <c r="AE68" s="391"/>
      <c r="AF68" s="392"/>
      <c r="AG68" s="390"/>
      <c r="AH68" s="391"/>
      <c r="AI68" s="391"/>
      <c r="AJ68" s="391"/>
      <c r="AK68" s="391"/>
      <c r="AL68" s="391"/>
      <c r="AM68" s="391"/>
      <c r="AN68" s="391"/>
      <c r="AO68" s="391"/>
      <c r="AP68" s="391"/>
      <c r="AQ68" s="391"/>
      <c r="AR68" s="391"/>
      <c r="AS68" s="391"/>
      <c r="AT68" s="391"/>
      <c r="AU68" s="391"/>
      <c r="AV68" s="391"/>
      <c r="AW68" s="391"/>
      <c r="AX68" s="391"/>
      <c r="AY68" s="392"/>
      <c r="AZ68" s="8"/>
      <c r="BA68" s="8"/>
      <c r="BB68" s="2"/>
    </row>
  </sheetData>
  <sheetProtection sheet="1" formatCells="0" formatRows="0" insertRows="0" deleteRows="0"/>
  <mergeCells count="21">
    <mergeCell ref="B63:AY63"/>
    <mergeCell ref="B7:AY62"/>
    <mergeCell ref="W67:AF67"/>
    <mergeCell ref="AG67:AY67"/>
    <mergeCell ref="AG68:AY68"/>
    <mergeCell ref="F65:G66"/>
    <mergeCell ref="H65:L66"/>
    <mergeCell ref="B68:V68"/>
    <mergeCell ref="W68:AF68"/>
    <mergeCell ref="B67:V67"/>
    <mergeCell ref="Q64:AY64"/>
    <mergeCell ref="Q65:AY66"/>
    <mergeCell ref="B64:P64"/>
    <mergeCell ref="B6:AY6"/>
    <mergeCell ref="B2:H4"/>
    <mergeCell ref="I2:AN2"/>
    <mergeCell ref="AO2:AR3"/>
    <mergeCell ref="AS2:AY3"/>
    <mergeCell ref="I3:AN4"/>
    <mergeCell ref="AO4:AR4"/>
    <mergeCell ref="AS4:AY4"/>
  </mergeCells>
  <printOptions horizontalCentered="1"/>
  <pageMargins left="0.31496062992125984" right="0.31496062992125984" top="0.31496062992125984" bottom="0.47244094488188981" header="0.19685039370078741" footer="0.19685039370078741"/>
  <pageSetup paperSize="9" scale="80" fitToHeight="0" orientation="portrait" horizontalDpi="0" verticalDpi="0" r:id="rId1"/>
  <headerFooter>
    <oddFooter>&amp;L&amp;K0000FF&amp;A&amp;C&amp;K0000FFPágina &amp;P de &amp;N&amp;R&amp;K0000FFImpresso em: &amp;D 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2C92-3389-46CD-A829-4EA11FC0910F}">
  <sheetPr codeName="Planilha3">
    <tabColor rgb="FF0066FF"/>
    <pageSetUpPr fitToPage="1"/>
  </sheetPr>
  <dimension ref="B1:L96"/>
  <sheetViews>
    <sheetView showGridLines="0" zoomScaleNormal="100" workbookViewId="0">
      <selection activeCell="D3" sqref="D3:I4"/>
    </sheetView>
  </sheetViews>
  <sheetFormatPr defaultColWidth="9.140625" defaultRowHeight="27" customHeight="1" x14ac:dyDescent="0.25"/>
  <cols>
    <col min="1" max="1" width="1.42578125" style="148" customWidth="1"/>
    <col min="2" max="2" width="15.28515625" style="148" customWidth="1"/>
    <col min="3" max="3" width="5.28515625" style="148" customWidth="1"/>
    <col min="4" max="4" width="60.85546875" style="149" customWidth="1"/>
    <col min="5" max="6" width="10.7109375" style="150" customWidth="1"/>
    <col min="7" max="7" width="9.28515625" style="150" customWidth="1"/>
    <col min="8" max="8" width="9.85546875" style="150" hidden="1" customWidth="1"/>
    <col min="9" max="12" width="9.28515625" style="150" customWidth="1"/>
    <col min="13" max="13" width="1.42578125" style="148" customWidth="1"/>
    <col min="14" max="16384" width="9.140625" style="148"/>
  </cols>
  <sheetData>
    <row r="1" spans="2:12" ht="7.5" customHeight="1" thickBot="1" x14ac:dyDescent="0.3"/>
    <row r="2" spans="2:12" ht="18.75" customHeight="1" thickTop="1" x14ac:dyDescent="0.25">
      <c r="B2" s="407"/>
      <c r="C2" s="408"/>
      <c r="D2" s="413" t="s">
        <v>288</v>
      </c>
      <c r="E2" s="414"/>
      <c r="F2" s="414"/>
      <c r="G2" s="414"/>
      <c r="H2" s="414"/>
      <c r="I2" s="415"/>
      <c r="J2" s="416" t="str">
        <f>PEX!AO2</f>
        <v>SI</v>
      </c>
      <c r="K2" s="418" t="str">
        <f>PEX!AS2</f>
        <v>00012345/25H</v>
      </c>
      <c r="L2" s="419"/>
    </row>
    <row r="3" spans="2:12" ht="18.75" customHeight="1" thickBot="1" x14ac:dyDescent="0.3">
      <c r="B3" s="409"/>
      <c r="C3" s="410"/>
      <c r="D3" s="422" t="s">
        <v>289</v>
      </c>
      <c r="E3" s="423"/>
      <c r="F3" s="423"/>
      <c r="G3" s="423"/>
      <c r="H3" s="423"/>
      <c r="I3" s="424"/>
      <c r="J3" s="417"/>
      <c r="K3" s="420"/>
      <c r="L3" s="421"/>
    </row>
    <row r="4" spans="2:12" ht="18.75" customHeight="1" thickTop="1" thickBot="1" x14ac:dyDescent="0.3">
      <c r="B4" s="411"/>
      <c r="C4" s="412"/>
      <c r="D4" s="425"/>
      <c r="E4" s="426"/>
      <c r="F4" s="426"/>
      <c r="G4" s="426"/>
      <c r="H4" s="426"/>
      <c r="I4" s="427"/>
      <c r="J4" s="151" t="s">
        <v>290</v>
      </c>
      <c r="K4" s="428">
        <f>PEX!H13</f>
        <v>45996</v>
      </c>
      <c r="L4" s="429"/>
    </row>
    <row r="5" spans="2:12" ht="10.5" customHeight="1" thickTop="1" x14ac:dyDescent="0.25"/>
    <row r="6" spans="2:12" s="156" customFormat="1" ht="31.5" customHeight="1" x14ac:dyDescent="0.25">
      <c r="B6" s="152" t="s">
        <v>291</v>
      </c>
      <c r="C6" s="153" t="s">
        <v>156</v>
      </c>
      <c r="D6" s="153" t="s">
        <v>292</v>
      </c>
      <c r="E6" s="191" t="s">
        <v>6</v>
      </c>
      <c r="F6" s="191" t="s">
        <v>293</v>
      </c>
      <c r="G6" s="192" t="s">
        <v>294</v>
      </c>
      <c r="H6" s="155" t="s">
        <v>295</v>
      </c>
      <c r="I6" s="155" t="s">
        <v>296</v>
      </c>
      <c r="J6" s="154" t="s">
        <v>297</v>
      </c>
      <c r="K6" s="154" t="s">
        <v>298</v>
      </c>
      <c r="L6" s="154" t="s">
        <v>299</v>
      </c>
    </row>
    <row r="7" spans="2:12" ht="30" customHeight="1" x14ac:dyDescent="0.25">
      <c r="B7" s="147" t="s">
        <v>300</v>
      </c>
      <c r="C7" s="157">
        <v>1</v>
      </c>
      <c r="D7" s="100" t="s">
        <v>176</v>
      </c>
      <c r="E7" s="99"/>
      <c r="F7" s="99"/>
      <c r="G7" s="101" t="b">
        <v>0</v>
      </c>
      <c r="H7" s="159">
        <f>IF(AND(Tabela138[[#This Row],[Item]]&lt;&gt;"",LEN(Tabela138[[#This Row],[Item]])&lt;3),1,"")</f>
        <v>1</v>
      </c>
      <c r="I7" s="159" t="str">
        <f t="shared" ref="I7:L34" si="0">"___:___"</f>
        <v>___:___</v>
      </c>
      <c r="J7" s="158" t="str">
        <f t="shared" si="0"/>
        <v>___:___</v>
      </c>
      <c r="K7" s="158" t="str">
        <f t="shared" si="0"/>
        <v>___:___</v>
      </c>
      <c r="L7" s="158" t="str">
        <f t="shared" si="0"/>
        <v>___:___</v>
      </c>
    </row>
    <row r="8" spans="2:12" ht="30" customHeight="1" x14ac:dyDescent="0.25">
      <c r="B8" s="99"/>
      <c r="C8" s="160" t="str">
        <f t="shared" ref="C8:C9" si="1">IF(B8&lt;&gt;"",
    IF(IFERROR(FIND(".", C7),0)&gt;0, VALUE(LEFT(C7, FIND(".", C7)-1))+1, VALUE(C7)+1),
    IF(IFERROR(FIND(".", C7),0)&gt;0,
        LEFT(C7, FIND(".", C7)) &amp; (VALUE(RIGHT(C7, LEN(C7) - FIND(".", C7)))+1),
        C7 &amp; ".1"
    )
)</f>
        <v>1.1</v>
      </c>
      <c r="D8" s="102" t="s">
        <v>301</v>
      </c>
      <c r="E8" s="99"/>
      <c r="F8" s="99"/>
      <c r="G8" s="101" t="b">
        <v>0</v>
      </c>
      <c r="H8" s="159" t="str">
        <f>IF(AND(Tabela138[[#This Row],[Item]]&lt;&gt;"",LEN(Tabela138[[#This Row],[Item]])&lt;3),1,"")</f>
        <v/>
      </c>
      <c r="I8" s="159" t="str">
        <f t="shared" si="0"/>
        <v>___:___</v>
      </c>
      <c r="J8" s="158" t="str">
        <f t="shared" si="0"/>
        <v>___:___</v>
      </c>
      <c r="K8" s="158" t="str">
        <f t="shared" si="0"/>
        <v>___:___</v>
      </c>
      <c r="L8" s="158" t="str">
        <f t="shared" si="0"/>
        <v>___:___</v>
      </c>
    </row>
    <row r="9" spans="2:12" ht="30" customHeight="1" x14ac:dyDescent="0.25">
      <c r="B9" s="99"/>
      <c r="C9" s="159" t="str">
        <f t="shared" si="1"/>
        <v>1.2</v>
      </c>
      <c r="D9" s="102" t="s">
        <v>302</v>
      </c>
      <c r="E9" s="99"/>
      <c r="F9" s="99"/>
      <c r="G9" s="101" t="b">
        <v>1</v>
      </c>
      <c r="H9" s="159" t="str">
        <f>IF(AND(Tabela138[[#This Row],[Item]]&lt;&gt;"",LEN(Tabela138[[#This Row],[Item]])&lt;3),1,"")</f>
        <v/>
      </c>
      <c r="I9" s="159" t="str">
        <f t="shared" si="0"/>
        <v>___:___</v>
      </c>
      <c r="J9" s="158" t="str">
        <f t="shared" si="0"/>
        <v>___:___</v>
      </c>
      <c r="K9" s="158" t="str">
        <f t="shared" si="0"/>
        <v>___:___</v>
      </c>
      <c r="L9" s="158" t="str">
        <f t="shared" si="0"/>
        <v>___:___</v>
      </c>
    </row>
    <row r="10" spans="2:12" ht="30" customHeight="1" x14ac:dyDescent="0.25">
      <c r="B10" s="99"/>
      <c r="C10" s="160" t="str">
        <f t="shared" ref="C10:C33" si="2">IF(B10&lt;&gt;"",
    IF(IFERROR(FIND(".", C9),0)&gt;0, VALUE(LEFT(C9, FIND(".", C9)-1))+1, VALUE(C9)+1),
    IF(IFERROR(FIND(".", C9),0)&gt;0,
        LEFT(C9, FIND(".", C9)) &amp; (VALUE(RIGHT(C9, LEN(C9) - FIND(".", C9)))+1),
        C9 &amp; ".1"
    )
)</f>
        <v>1.3</v>
      </c>
      <c r="D10" s="102" t="s">
        <v>303</v>
      </c>
      <c r="E10" s="99"/>
      <c r="F10" s="99"/>
      <c r="G10" s="101" t="b">
        <v>0</v>
      </c>
      <c r="H10" s="159" t="str">
        <f>IF(AND(Tabela138[[#This Row],[Item]]&lt;&gt;"",LEN(Tabela138[[#This Row],[Item]])&lt;3),1,"")</f>
        <v/>
      </c>
      <c r="I10" s="159" t="str">
        <f t="shared" si="0"/>
        <v>___:___</v>
      </c>
      <c r="J10" s="158" t="str">
        <f t="shared" si="0"/>
        <v>___:___</v>
      </c>
      <c r="K10" s="158" t="str">
        <f t="shared" si="0"/>
        <v>___:___</v>
      </c>
      <c r="L10" s="158" t="str">
        <f t="shared" si="0"/>
        <v>___:___</v>
      </c>
    </row>
    <row r="11" spans="2:12" ht="30" customHeight="1" x14ac:dyDescent="0.25">
      <c r="B11" s="147" t="s">
        <v>304</v>
      </c>
      <c r="C11" s="157">
        <f t="shared" si="2"/>
        <v>2</v>
      </c>
      <c r="D11" s="100" t="s">
        <v>305</v>
      </c>
      <c r="E11" s="99"/>
      <c r="F11" s="99"/>
      <c r="G11" s="101" t="b">
        <v>0</v>
      </c>
      <c r="H11" s="159">
        <f>IF(AND(Tabela138[[#This Row],[Item]]&lt;&gt;"",LEN(Tabela138[[#This Row],[Item]])&lt;3),1,"")</f>
        <v>1</v>
      </c>
      <c r="I11" s="159" t="str">
        <f t="shared" si="0"/>
        <v>___:___</v>
      </c>
      <c r="J11" s="158" t="str">
        <f t="shared" si="0"/>
        <v>___:___</v>
      </c>
      <c r="K11" s="158" t="str">
        <f t="shared" si="0"/>
        <v>___:___</v>
      </c>
      <c r="L11" s="158" t="str">
        <f t="shared" si="0"/>
        <v>___:___</v>
      </c>
    </row>
    <row r="12" spans="2:12" ht="30" customHeight="1" x14ac:dyDescent="0.25">
      <c r="B12" s="99"/>
      <c r="C12" s="160" t="str">
        <f t="shared" si="2"/>
        <v>2.1</v>
      </c>
      <c r="D12" s="102" t="s">
        <v>306</v>
      </c>
      <c r="E12" s="99"/>
      <c r="F12" s="99"/>
      <c r="G12" s="101" t="b">
        <v>0</v>
      </c>
      <c r="H12" s="159" t="str">
        <f>IF(AND(Tabela138[[#This Row],[Item]]&lt;&gt;"",LEN(Tabela138[[#This Row],[Item]])&lt;3),1,"")</f>
        <v/>
      </c>
      <c r="I12" s="159" t="str">
        <f t="shared" si="0"/>
        <v>___:___</v>
      </c>
      <c r="J12" s="158" t="str">
        <f t="shared" si="0"/>
        <v>___:___</v>
      </c>
      <c r="K12" s="158" t="str">
        <f t="shared" si="0"/>
        <v>___:___</v>
      </c>
      <c r="L12" s="158" t="str">
        <f t="shared" si="0"/>
        <v>___:___</v>
      </c>
    </row>
    <row r="13" spans="2:12" ht="30" customHeight="1" x14ac:dyDescent="0.25">
      <c r="B13" s="99"/>
      <c r="C13" s="160" t="str">
        <f t="shared" si="2"/>
        <v>2.2</v>
      </c>
      <c r="D13" s="102" t="s">
        <v>307</v>
      </c>
      <c r="E13" s="99"/>
      <c r="F13" s="99"/>
      <c r="G13" s="101" t="b">
        <v>0</v>
      </c>
      <c r="H13" s="159" t="str">
        <f>IF(AND(Tabela138[[#This Row],[Item]]&lt;&gt;"",LEN(Tabela138[[#This Row],[Item]])&lt;3),1,"")</f>
        <v/>
      </c>
      <c r="I13" s="159" t="str">
        <f t="shared" si="0"/>
        <v>___:___</v>
      </c>
      <c r="J13" s="158" t="str">
        <f t="shared" si="0"/>
        <v>___:___</v>
      </c>
      <c r="K13" s="158" t="str">
        <f t="shared" si="0"/>
        <v>___:___</v>
      </c>
      <c r="L13" s="158" t="str">
        <f t="shared" si="0"/>
        <v>___:___</v>
      </c>
    </row>
    <row r="14" spans="2:12" ht="30" customHeight="1" x14ac:dyDescent="0.25">
      <c r="B14" s="99"/>
      <c r="C14" s="160" t="str">
        <f t="shared" si="2"/>
        <v>2.3</v>
      </c>
      <c r="D14" s="102" t="s">
        <v>308</v>
      </c>
      <c r="E14" s="99"/>
      <c r="F14" s="99"/>
      <c r="G14" s="101" t="b">
        <v>1</v>
      </c>
      <c r="H14" s="159" t="str">
        <f>IF(AND(Tabela138[[#This Row],[Item]]&lt;&gt;"",LEN(Tabela138[[#This Row],[Item]])&lt;3),1,"")</f>
        <v/>
      </c>
      <c r="I14" s="159" t="str">
        <f t="shared" si="0"/>
        <v>___:___</v>
      </c>
      <c r="J14" s="158" t="str">
        <f t="shared" si="0"/>
        <v>___:___</v>
      </c>
      <c r="K14" s="158" t="str">
        <f t="shared" si="0"/>
        <v>___:___</v>
      </c>
      <c r="L14" s="158" t="str">
        <f t="shared" si="0"/>
        <v>___:___</v>
      </c>
    </row>
    <row r="15" spans="2:12" ht="30" customHeight="1" x14ac:dyDescent="0.25">
      <c r="B15" s="99"/>
      <c r="C15" s="160" t="str">
        <f t="shared" si="2"/>
        <v>2.4</v>
      </c>
      <c r="D15" s="102" t="s">
        <v>309</v>
      </c>
      <c r="E15" s="99"/>
      <c r="F15" s="99"/>
      <c r="G15" s="101" t="b">
        <v>1</v>
      </c>
      <c r="H15" s="159" t="str">
        <f>IF(AND(Tabela138[[#This Row],[Item]]&lt;&gt;"",LEN(Tabela138[[#This Row],[Item]])&lt;3),1,"")</f>
        <v/>
      </c>
      <c r="I15" s="159" t="str">
        <f t="shared" si="0"/>
        <v>___:___</v>
      </c>
      <c r="J15" s="158" t="str">
        <f t="shared" si="0"/>
        <v>___:___</v>
      </c>
      <c r="K15" s="158" t="str">
        <f t="shared" si="0"/>
        <v>___:___</v>
      </c>
      <c r="L15" s="158" t="str">
        <f t="shared" si="0"/>
        <v>___:___</v>
      </c>
    </row>
    <row r="16" spans="2:12" ht="30" customHeight="1" x14ac:dyDescent="0.25">
      <c r="B16" s="99"/>
      <c r="C16" s="160" t="str">
        <f t="shared" si="2"/>
        <v>2.5</v>
      </c>
      <c r="D16" s="102" t="s">
        <v>310</v>
      </c>
      <c r="E16" s="99"/>
      <c r="F16" s="99"/>
      <c r="G16" s="101" t="b">
        <v>1</v>
      </c>
      <c r="H16" s="159" t="str">
        <f>IF(AND(Tabela138[[#This Row],[Item]]&lt;&gt;"",LEN(Tabela138[[#This Row],[Item]])&lt;3),1,"")</f>
        <v/>
      </c>
      <c r="I16" s="159" t="str">
        <f t="shared" si="0"/>
        <v>___:___</v>
      </c>
      <c r="J16" s="158" t="str">
        <f t="shared" si="0"/>
        <v>___:___</v>
      </c>
      <c r="K16" s="158" t="str">
        <f t="shared" si="0"/>
        <v>___:___</v>
      </c>
      <c r="L16" s="158" t="str">
        <f t="shared" si="0"/>
        <v>___:___</v>
      </c>
    </row>
    <row r="17" spans="2:12" ht="30" customHeight="1" x14ac:dyDescent="0.25">
      <c r="B17" s="99"/>
      <c r="C17" s="160" t="str">
        <f t="shared" si="2"/>
        <v>2.6</v>
      </c>
      <c r="D17" s="102" t="s">
        <v>311</v>
      </c>
      <c r="E17" s="99"/>
      <c r="F17" s="99"/>
      <c r="G17" s="101" t="b">
        <v>1</v>
      </c>
      <c r="H17" s="159" t="str">
        <f>IF(AND(Tabela138[[#This Row],[Item]]&lt;&gt;"",LEN(Tabela138[[#This Row],[Item]])&lt;3),1,"")</f>
        <v/>
      </c>
      <c r="I17" s="159" t="str">
        <f t="shared" si="0"/>
        <v>___:___</v>
      </c>
      <c r="J17" s="158" t="str">
        <f t="shared" si="0"/>
        <v>___:___</v>
      </c>
      <c r="K17" s="158" t="str">
        <f t="shared" si="0"/>
        <v>___:___</v>
      </c>
      <c r="L17" s="158" t="str">
        <f t="shared" si="0"/>
        <v>___:___</v>
      </c>
    </row>
    <row r="18" spans="2:12" ht="30" customHeight="1" x14ac:dyDescent="0.25">
      <c r="B18" s="99"/>
      <c r="C18" s="160" t="str">
        <f t="shared" si="2"/>
        <v>2.7</v>
      </c>
      <c r="D18" s="102" t="s">
        <v>312</v>
      </c>
      <c r="E18" s="99"/>
      <c r="F18" s="99"/>
      <c r="G18" s="101" t="b">
        <v>1</v>
      </c>
      <c r="H18" s="159" t="str">
        <f>IF(AND(Tabela138[[#This Row],[Item]]&lt;&gt;"",LEN(Tabela138[[#This Row],[Item]])&lt;3),1,"")</f>
        <v/>
      </c>
      <c r="I18" s="159" t="str">
        <f t="shared" si="0"/>
        <v>___:___</v>
      </c>
      <c r="J18" s="158" t="str">
        <f t="shared" si="0"/>
        <v>___:___</v>
      </c>
      <c r="K18" s="158" t="str">
        <f t="shared" si="0"/>
        <v>___:___</v>
      </c>
      <c r="L18" s="158" t="str">
        <f t="shared" si="0"/>
        <v>___:___</v>
      </c>
    </row>
    <row r="19" spans="2:12" ht="30" customHeight="1" x14ac:dyDescent="0.25">
      <c r="B19" s="99"/>
      <c r="C19" s="160" t="str">
        <f t="shared" si="2"/>
        <v>2.8</v>
      </c>
      <c r="D19" s="102" t="s">
        <v>313</v>
      </c>
      <c r="E19" s="99"/>
      <c r="F19" s="99"/>
      <c r="G19" s="101" t="b">
        <v>1</v>
      </c>
      <c r="H19" s="159" t="str">
        <f>IF(AND(Tabela138[[#This Row],[Item]]&lt;&gt;"",LEN(Tabela138[[#This Row],[Item]])&lt;3),1,"")</f>
        <v/>
      </c>
      <c r="I19" s="159" t="str">
        <f t="shared" si="0"/>
        <v>___:___</v>
      </c>
      <c r="J19" s="158" t="str">
        <f t="shared" si="0"/>
        <v>___:___</v>
      </c>
      <c r="K19" s="158" t="str">
        <f t="shared" si="0"/>
        <v>___:___</v>
      </c>
      <c r="L19" s="158" t="str">
        <f t="shared" si="0"/>
        <v>___:___</v>
      </c>
    </row>
    <row r="20" spans="2:12" ht="30" customHeight="1" x14ac:dyDescent="0.25">
      <c r="B20" s="147" t="s">
        <v>300</v>
      </c>
      <c r="C20" s="157">
        <f t="shared" si="2"/>
        <v>3</v>
      </c>
      <c r="D20" s="100" t="s">
        <v>314</v>
      </c>
      <c r="E20" s="99"/>
      <c r="F20" s="99"/>
      <c r="G20" s="101" t="b">
        <v>0</v>
      </c>
      <c r="H20" s="159">
        <f>IF(AND(Tabela138[[#This Row],[Item]]&lt;&gt;"",LEN(Tabela138[[#This Row],[Item]])&lt;3),1,"")</f>
        <v>1</v>
      </c>
      <c r="I20" s="159" t="str">
        <f t="shared" si="0"/>
        <v>___:___</v>
      </c>
      <c r="J20" s="158" t="str">
        <f t="shared" si="0"/>
        <v>___:___</v>
      </c>
      <c r="K20" s="158" t="str">
        <f t="shared" si="0"/>
        <v>___:___</v>
      </c>
      <c r="L20" s="158" t="str">
        <f t="shared" si="0"/>
        <v>___:___</v>
      </c>
    </row>
    <row r="21" spans="2:12" ht="30" customHeight="1" x14ac:dyDescent="0.25">
      <c r="B21" s="99"/>
      <c r="C21" s="160" t="str">
        <f t="shared" si="2"/>
        <v>3.1</v>
      </c>
      <c r="D21" s="102" t="s">
        <v>315</v>
      </c>
      <c r="E21" s="99"/>
      <c r="F21" s="99"/>
      <c r="G21" s="101" t="b">
        <v>1</v>
      </c>
      <c r="H21" s="159" t="str">
        <f>IF(AND(Tabela138[[#This Row],[Item]]&lt;&gt;"",LEN(Tabela138[[#This Row],[Item]])&lt;3),1,"")</f>
        <v/>
      </c>
      <c r="I21" s="159" t="str">
        <f t="shared" si="0"/>
        <v>___:___</v>
      </c>
      <c r="J21" s="158" t="str">
        <f t="shared" si="0"/>
        <v>___:___</v>
      </c>
      <c r="K21" s="158" t="str">
        <f t="shared" si="0"/>
        <v>___:___</v>
      </c>
      <c r="L21" s="158" t="str">
        <f t="shared" si="0"/>
        <v>___:___</v>
      </c>
    </row>
    <row r="22" spans="2:12" ht="30" customHeight="1" x14ac:dyDescent="0.25">
      <c r="B22" s="99"/>
      <c r="C22" s="160" t="str">
        <f t="shared" si="2"/>
        <v>3.2</v>
      </c>
      <c r="D22" s="102" t="s">
        <v>316</v>
      </c>
      <c r="E22" s="99"/>
      <c r="F22" s="99"/>
      <c r="G22" s="101" t="b">
        <v>1</v>
      </c>
      <c r="H22" s="159" t="str">
        <f>IF(AND(Tabela138[[#This Row],[Item]]&lt;&gt;"",LEN(Tabela138[[#This Row],[Item]])&lt;3),1,"")</f>
        <v/>
      </c>
      <c r="I22" s="159" t="str">
        <f t="shared" si="0"/>
        <v>___:___</v>
      </c>
      <c r="J22" s="158" t="str">
        <f t="shared" si="0"/>
        <v>___:___</v>
      </c>
      <c r="K22" s="158" t="str">
        <f t="shared" si="0"/>
        <v>___:___</v>
      </c>
      <c r="L22" s="158" t="str">
        <f t="shared" si="0"/>
        <v>___:___</v>
      </c>
    </row>
    <row r="23" spans="2:12" ht="30" customHeight="1" x14ac:dyDescent="0.25">
      <c r="B23" s="99"/>
      <c r="C23" s="160" t="str">
        <f t="shared" si="2"/>
        <v>3.3</v>
      </c>
      <c r="D23" s="102" t="s">
        <v>317</v>
      </c>
      <c r="E23" s="99"/>
      <c r="F23" s="99"/>
      <c r="G23" s="101" t="b">
        <v>1</v>
      </c>
      <c r="H23" s="159" t="str">
        <f>IF(AND(Tabela138[[#This Row],[Item]]&lt;&gt;"",LEN(Tabela138[[#This Row],[Item]])&lt;3),1,"")</f>
        <v/>
      </c>
      <c r="I23" s="159" t="str">
        <f t="shared" si="0"/>
        <v>___:___</v>
      </c>
      <c r="J23" s="158" t="str">
        <f t="shared" si="0"/>
        <v>___:___</v>
      </c>
      <c r="K23" s="158" t="str">
        <f t="shared" si="0"/>
        <v>___:___</v>
      </c>
      <c r="L23" s="158" t="str">
        <f t="shared" si="0"/>
        <v>___:___</v>
      </c>
    </row>
    <row r="24" spans="2:12" ht="30" customHeight="1" x14ac:dyDescent="0.25">
      <c r="B24" s="147" t="s">
        <v>304</v>
      </c>
      <c r="C24" s="157">
        <f t="shared" si="2"/>
        <v>4</v>
      </c>
      <c r="D24" s="103" t="s">
        <v>318</v>
      </c>
      <c r="E24" s="99"/>
      <c r="F24" s="99"/>
      <c r="G24" s="101" t="b">
        <v>0</v>
      </c>
      <c r="H24" s="159">
        <f>IF(AND(Tabela138[[#This Row],[Item]]&lt;&gt;"",LEN(Tabela138[[#This Row],[Item]])&lt;3),1,"")</f>
        <v>1</v>
      </c>
      <c r="I24" s="159" t="str">
        <f t="shared" si="0"/>
        <v>___:___</v>
      </c>
      <c r="J24" s="158" t="str">
        <f t="shared" si="0"/>
        <v>___:___</v>
      </c>
      <c r="K24" s="158" t="str">
        <f t="shared" si="0"/>
        <v>___:___</v>
      </c>
      <c r="L24" s="158" t="str">
        <f t="shared" si="0"/>
        <v>___:___</v>
      </c>
    </row>
    <row r="25" spans="2:12" ht="30" customHeight="1" x14ac:dyDescent="0.25">
      <c r="B25" s="99"/>
      <c r="C25" s="160" t="str">
        <f t="shared" si="2"/>
        <v>4.1</v>
      </c>
      <c r="D25" s="102" t="s">
        <v>319</v>
      </c>
      <c r="E25" s="99"/>
      <c r="F25" s="99"/>
      <c r="G25" s="101" t="b">
        <v>0</v>
      </c>
      <c r="H25" s="159" t="str">
        <f>IF(AND(Tabela138[[#This Row],[Item]]&lt;&gt;"",LEN(Tabela138[[#This Row],[Item]])&lt;3),1,"")</f>
        <v/>
      </c>
      <c r="I25" s="159" t="str">
        <f t="shared" si="0"/>
        <v>___:___</v>
      </c>
      <c r="J25" s="158" t="str">
        <f t="shared" si="0"/>
        <v>___:___</v>
      </c>
      <c r="K25" s="158" t="str">
        <f t="shared" si="0"/>
        <v>___:___</v>
      </c>
      <c r="L25" s="158" t="str">
        <f t="shared" si="0"/>
        <v>___:___</v>
      </c>
    </row>
    <row r="26" spans="2:12" ht="30" customHeight="1" x14ac:dyDescent="0.25">
      <c r="B26" s="99"/>
      <c r="C26" s="160" t="str">
        <f t="shared" si="2"/>
        <v>4.2</v>
      </c>
      <c r="D26" s="102" t="s">
        <v>320</v>
      </c>
      <c r="E26" s="99"/>
      <c r="F26" s="99"/>
      <c r="G26" s="101" t="b">
        <v>1</v>
      </c>
      <c r="H26" s="159" t="str">
        <f>IF(AND(Tabela138[[#This Row],[Item]]&lt;&gt;"",LEN(Tabela138[[#This Row],[Item]])&lt;3),1,"")</f>
        <v/>
      </c>
      <c r="I26" s="159" t="str">
        <f t="shared" si="0"/>
        <v>___:___</v>
      </c>
      <c r="J26" s="158" t="str">
        <f t="shared" si="0"/>
        <v>___:___</v>
      </c>
      <c r="K26" s="158" t="str">
        <f t="shared" si="0"/>
        <v>___:___</v>
      </c>
      <c r="L26" s="158" t="str">
        <f t="shared" si="0"/>
        <v>___:___</v>
      </c>
    </row>
    <row r="27" spans="2:12" ht="30" customHeight="1" x14ac:dyDescent="0.25">
      <c r="B27" s="99"/>
      <c r="C27" s="160" t="str">
        <f t="shared" si="2"/>
        <v>4.3</v>
      </c>
      <c r="D27" s="102" t="s">
        <v>321</v>
      </c>
      <c r="E27" s="99"/>
      <c r="F27" s="99"/>
      <c r="G27" s="101" t="b">
        <v>1</v>
      </c>
      <c r="H27" s="159" t="str">
        <f>IF(AND(Tabela138[[#This Row],[Item]]&lt;&gt;"",LEN(Tabela138[[#This Row],[Item]])&lt;3),1,"")</f>
        <v/>
      </c>
      <c r="I27" s="159" t="str">
        <f t="shared" si="0"/>
        <v>___:___</v>
      </c>
      <c r="J27" s="158" t="str">
        <f t="shared" si="0"/>
        <v>___:___</v>
      </c>
      <c r="K27" s="158" t="str">
        <f t="shared" si="0"/>
        <v>___:___</v>
      </c>
      <c r="L27" s="158" t="str">
        <f t="shared" si="0"/>
        <v>___:___</v>
      </c>
    </row>
    <row r="28" spans="2:12" ht="30" customHeight="1" x14ac:dyDescent="0.25">
      <c r="B28" s="99"/>
      <c r="C28" s="160" t="str">
        <f t="shared" si="2"/>
        <v>4.4</v>
      </c>
      <c r="D28" s="102" t="s">
        <v>322</v>
      </c>
      <c r="E28" s="99"/>
      <c r="F28" s="99"/>
      <c r="G28" s="101" t="b">
        <v>1</v>
      </c>
      <c r="H28" s="159" t="str">
        <f>IF(AND(Tabela138[[#This Row],[Item]]&lt;&gt;"",LEN(Tabela138[[#This Row],[Item]])&lt;3),1,"")</f>
        <v/>
      </c>
      <c r="I28" s="159" t="str">
        <f t="shared" si="0"/>
        <v>___:___</v>
      </c>
      <c r="J28" s="158" t="str">
        <f t="shared" si="0"/>
        <v>___:___</v>
      </c>
      <c r="K28" s="159" t="str">
        <f t="shared" si="0"/>
        <v>___:___</v>
      </c>
      <c r="L28" s="159" t="str">
        <f t="shared" si="0"/>
        <v>___:___</v>
      </c>
    </row>
    <row r="29" spans="2:12" ht="30" customHeight="1" x14ac:dyDescent="0.25">
      <c r="B29" s="99"/>
      <c r="C29" s="160" t="str">
        <f t="shared" si="2"/>
        <v>4.5</v>
      </c>
      <c r="D29" s="102" t="s">
        <v>323</v>
      </c>
      <c r="E29" s="99"/>
      <c r="F29" s="99"/>
      <c r="G29" s="101" t="b">
        <v>1</v>
      </c>
      <c r="H29" s="159" t="str">
        <f>IF(AND(Tabela138[[#This Row],[Item]]&lt;&gt;"",LEN(Tabela138[[#This Row],[Item]])&lt;3),1,"")</f>
        <v/>
      </c>
      <c r="I29" s="159" t="str">
        <f t="shared" si="0"/>
        <v>___:___</v>
      </c>
      <c r="J29" s="158" t="str">
        <f t="shared" si="0"/>
        <v>___:___</v>
      </c>
      <c r="K29" s="159" t="str">
        <f t="shared" si="0"/>
        <v>___:___</v>
      </c>
      <c r="L29" s="159" t="str">
        <f t="shared" si="0"/>
        <v>___:___</v>
      </c>
    </row>
    <row r="30" spans="2:12" ht="30" customHeight="1" x14ac:dyDescent="0.25">
      <c r="B30" s="99"/>
      <c r="C30" s="160" t="str">
        <f t="shared" si="2"/>
        <v>4.6</v>
      </c>
      <c r="D30" s="102" t="s">
        <v>324</v>
      </c>
      <c r="E30" s="99"/>
      <c r="F30" s="99"/>
      <c r="G30" s="101" t="b">
        <v>1</v>
      </c>
      <c r="H30" s="159" t="str">
        <f>IF(AND(Tabela138[[#This Row],[Item]]&lt;&gt;"",LEN(Tabela138[[#This Row],[Item]])&lt;3),1,"")</f>
        <v/>
      </c>
      <c r="I30" s="159" t="str">
        <f t="shared" si="0"/>
        <v>___:___</v>
      </c>
      <c r="J30" s="158" t="str">
        <f t="shared" si="0"/>
        <v>___:___</v>
      </c>
      <c r="K30" s="159" t="str">
        <f t="shared" si="0"/>
        <v>___:___</v>
      </c>
      <c r="L30" s="159" t="str">
        <f t="shared" si="0"/>
        <v>___:___</v>
      </c>
    </row>
    <row r="31" spans="2:12" ht="30" customHeight="1" x14ac:dyDescent="0.25">
      <c r="B31" s="99"/>
      <c r="C31" s="160" t="str">
        <f t="shared" si="2"/>
        <v>4.7</v>
      </c>
      <c r="D31" s="102" t="s">
        <v>325</v>
      </c>
      <c r="E31" s="99"/>
      <c r="F31" s="99"/>
      <c r="G31" s="101" t="b">
        <v>1</v>
      </c>
      <c r="H31" s="159" t="str">
        <f>IF(AND(Tabela138[[#This Row],[Item]]&lt;&gt;"",LEN(Tabela138[[#This Row],[Item]])&lt;3),1,"")</f>
        <v/>
      </c>
      <c r="I31" s="159" t="str">
        <f t="shared" si="0"/>
        <v>___:___</v>
      </c>
      <c r="J31" s="158" t="str">
        <f t="shared" si="0"/>
        <v>___:___</v>
      </c>
      <c r="K31" s="159" t="str">
        <f t="shared" si="0"/>
        <v>___:___</v>
      </c>
      <c r="L31" s="159" t="str">
        <f t="shared" si="0"/>
        <v>___:___</v>
      </c>
    </row>
    <row r="32" spans="2:12" ht="30" customHeight="1" x14ac:dyDescent="0.25">
      <c r="B32" s="99"/>
      <c r="C32" s="160" t="str">
        <f t="shared" si="2"/>
        <v>4.8</v>
      </c>
      <c r="D32" s="102" t="s">
        <v>326</v>
      </c>
      <c r="E32" s="99"/>
      <c r="F32" s="99"/>
      <c r="G32" s="101" t="b">
        <v>0</v>
      </c>
      <c r="H32" s="159" t="str">
        <f>IF(AND(Tabela138[[#This Row],[Item]]&lt;&gt;"",LEN(Tabela138[[#This Row],[Item]])&lt;3),1,"")</f>
        <v/>
      </c>
      <c r="I32" s="159" t="str">
        <f t="shared" si="0"/>
        <v>___:___</v>
      </c>
      <c r="J32" s="158" t="str">
        <f t="shared" si="0"/>
        <v>___:___</v>
      </c>
      <c r="K32" s="158" t="str">
        <f t="shared" si="0"/>
        <v>___:___</v>
      </c>
      <c r="L32" s="158" t="str">
        <f t="shared" si="0"/>
        <v>___:___</v>
      </c>
    </row>
    <row r="33" spans="2:12" ht="30" customHeight="1" x14ac:dyDescent="0.25">
      <c r="B33" s="99"/>
      <c r="C33" s="160" t="str">
        <f t="shared" si="2"/>
        <v>4.9</v>
      </c>
      <c r="D33" s="102" t="s">
        <v>327</v>
      </c>
      <c r="E33" s="99"/>
      <c r="F33" s="99"/>
      <c r="G33" s="101" t="b">
        <v>0</v>
      </c>
      <c r="H33" s="159" t="str">
        <f>IF(AND(Tabela138[[#This Row],[Item]]&lt;&gt;"",LEN(Tabela138[[#This Row],[Item]])&lt;3),1,"")</f>
        <v/>
      </c>
      <c r="I33" s="159" t="str">
        <f t="shared" si="0"/>
        <v>___:___</v>
      </c>
      <c r="J33" s="158" t="str">
        <f t="shared" si="0"/>
        <v>___:___</v>
      </c>
      <c r="K33" s="158" t="str">
        <f t="shared" si="0"/>
        <v>___:___</v>
      </c>
      <c r="L33" s="158" t="str">
        <f t="shared" si="0"/>
        <v>___:___</v>
      </c>
    </row>
    <row r="34" spans="2:12" ht="30" hidden="1" customHeight="1" x14ac:dyDescent="0.25">
      <c r="B34" s="99"/>
      <c r="C34" s="160" t="str">
        <f t="shared" ref="C34:C39" si="3">IF(B34&lt;&gt;"",
    IF(IFERROR(FIND(".", C33),0)&gt;0, VALUE(LEFT(C33, FIND(".", C33)-1))+1, VALUE(C33)+1),
    IF(IFERROR(FIND(".", C33),0)&gt;0,
        LEFT(C33, FIND(".", C33)) &amp; (VALUE(RIGHT(C33, LEN(C33) - FIND(".", C33)))+1),
        C33 &amp; ".1"
    )
)</f>
        <v>4.10</v>
      </c>
      <c r="D34" s="102"/>
      <c r="E34" s="99"/>
      <c r="F34" s="99"/>
      <c r="G34" s="101" t="b">
        <v>1</v>
      </c>
      <c r="H34" s="159" t="e">
        <f>IF(AND(Tabela138[[#This Row],[Item]]&lt;&gt;"",LEN(Tabela138[[#This Row],[Item]])&lt;3),1,"")</f>
        <v>#VALUE!</v>
      </c>
      <c r="I34" s="159" t="str">
        <f t="shared" si="0"/>
        <v>___:___</v>
      </c>
      <c r="J34" s="158" t="str">
        <f t="shared" si="0"/>
        <v>___:___</v>
      </c>
      <c r="K34" s="159" t="str">
        <f t="shared" si="0"/>
        <v>___:___</v>
      </c>
      <c r="L34" s="159" t="str">
        <f t="shared" si="0"/>
        <v>___:___</v>
      </c>
    </row>
    <row r="35" spans="2:12" ht="30" hidden="1" customHeight="1" x14ac:dyDescent="0.25">
      <c r="B35" s="99"/>
      <c r="C35" s="160" t="str">
        <f t="shared" si="3"/>
        <v>4.11</v>
      </c>
      <c r="D35" s="102"/>
      <c r="E35" s="99"/>
      <c r="F35" s="99"/>
      <c r="G35" s="101" t="b">
        <v>1</v>
      </c>
      <c r="H35" s="159" t="e">
        <f>IF(AND(Tabela138[[#This Row],[Item]]&lt;&gt;"",LEN(Tabela138[[#This Row],[Item]])&lt;3),1,"")</f>
        <v>#VALUE!</v>
      </c>
      <c r="I35" s="159" t="str">
        <f t="shared" ref="I35:L39" si="4">"___:___"</f>
        <v>___:___</v>
      </c>
      <c r="J35" s="158" t="str">
        <f t="shared" si="4"/>
        <v>___:___</v>
      </c>
      <c r="K35" s="159" t="str">
        <f t="shared" si="4"/>
        <v>___:___</v>
      </c>
      <c r="L35" s="159" t="str">
        <f t="shared" si="4"/>
        <v>___:___</v>
      </c>
    </row>
    <row r="36" spans="2:12" ht="30" hidden="1" customHeight="1" x14ac:dyDescent="0.25">
      <c r="B36" s="99"/>
      <c r="C36" s="160" t="str">
        <f t="shared" si="3"/>
        <v>4.12</v>
      </c>
      <c r="D36" s="102"/>
      <c r="E36" s="99"/>
      <c r="F36" s="99"/>
      <c r="G36" s="101" t="b">
        <v>1</v>
      </c>
      <c r="H36" s="159" t="e">
        <f>IF(AND(Tabela138[[#This Row],[Item]]&lt;&gt;"",LEN(Tabela138[[#This Row],[Item]])&lt;3),1,"")</f>
        <v>#VALUE!</v>
      </c>
      <c r="I36" s="159" t="str">
        <f t="shared" si="4"/>
        <v>___:___</v>
      </c>
      <c r="J36" s="158" t="str">
        <f t="shared" si="4"/>
        <v>___:___</v>
      </c>
      <c r="K36" s="159" t="str">
        <f t="shared" si="4"/>
        <v>___:___</v>
      </c>
      <c r="L36" s="159" t="str">
        <f t="shared" si="4"/>
        <v>___:___</v>
      </c>
    </row>
    <row r="37" spans="2:12" ht="30" hidden="1" customHeight="1" x14ac:dyDescent="0.25">
      <c r="B37" s="99"/>
      <c r="C37" s="160" t="str">
        <f t="shared" si="3"/>
        <v>4.13</v>
      </c>
      <c r="D37" s="102"/>
      <c r="E37" s="99"/>
      <c r="F37" s="99"/>
      <c r="G37" s="101" t="b">
        <v>1</v>
      </c>
      <c r="H37" s="159" t="e">
        <f>IF(AND(Tabela138[[#This Row],[Item]]&lt;&gt;"",LEN(Tabela138[[#This Row],[Item]])&lt;3),1,"")</f>
        <v>#VALUE!</v>
      </c>
      <c r="I37" s="159" t="str">
        <f t="shared" si="4"/>
        <v>___:___</v>
      </c>
      <c r="J37" s="158" t="str">
        <f t="shared" si="4"/>
        <v>___:___</v>
      </c>
      <c r="K37" s="159" t="str">
        <f t="shared" si="4"/>
        <v>___:___</v>
      </c>
      <c r="L37" s="159" t="str">
        <f t="shared" si="4"/>
        <v>___:___</v>
      </c>
    </row>
    <row r="38" spans="2:12" ht="30" hidden="1" customHeight="1" x14ac:dyDescent="0.25">
      <c r="B38" s="99"/>
      <c r="C38" s="160" t="str">
        <f t="shared" si="3"/>
        <v>4.14</v>
      </c>
      <c r="D38" s="102"/>
      <c r="E38" s="99"/>
      <c r="F38" s="99"/>
      <c r="G38" s="101" t="b">
        <v>1</v>
      </c>
      <c r="H38" s="159" t="e">
        <f>IF(AND(Tabela138[[#This Row],[Item]]&lt;&gt;"",LEN(Tabela138[[#This Row],[Item]])&lt;3),1,"")</f>
        <v>#VALUE!</v>
      </c>
      <c r="I38" s="159" t="str">
        <f t="shared" si="4"/>
        <v>___:___</v>
      </c>
      <c r="J38" s="158" t="str">
        <f t="shared" si="4"/>
        <v>___:___</v>
      </c>
      <c r="K38" s="158" t="str">
        <f t="shared" si="4"/>
        <v>___:___</v>
      </c>
      <c r="L38" s="158" t="str">
        <f t="shared" si="4"/>
        <v>___:___</v>
      </c>
    </row>
    <row r="39" spans="2:12" ht="30" hidden="1" customHeight="1" x14ac:dyDescent="0.25">
      <c r="B39" s="99"/>
      <c r="C39" s="160" t="str">
        <f t="shared" si="3"/>
        <v>4.15</v>
      </c>
      <c r="D39" s="102"/>
      <c r="E39" s="99"/>
      <c r="F39" s="99"/>
      <c r="G39" s="101" t="b">
        <v>1</v>
      </c>
      <c r="H39" s="159" t="e">
        <f>IF(AND(Tabela138[[#This Row],[Item]]&lt;&gt;"",LEN(Tabela138[[#This Row],[Item]])&lt;3),1,"")</f>
        <v>#VALUE!</v>
      </c>
      <c r="I39" s="159" t="str">
        <f t="shared" si="4"/>
        <v>___:___</v>
      </c>
      <c r="J39" s="158" t="str">
        <f t="shared" si="4"/>
        <v>___:___</v>
      </c>
      <c r="K39" s="158" t="str">
        <f t="shared" si="4"/>
        <v>___:___</v>
      </c>
      <c r="L39" s="158" t="str">
        <f t="shared" si="4"/>
        <v>___:___</v>
      </c>
    </row>
    <row r="40" spans="2:12" s="150" customFormat="1" ht="30" customHeight="1" x14ac:dyDescent="0.25">
      <c r="B40" s="148"/>
      <c r="C40" s="148"/>
      <c r="D40" s="149"/>
    </row>
    <row r="41" spans="2:12" s="150" customFormat="1" ht="30" customHeight="1" x14ac:dyDescent="0.25">
      <c r="B41" s="148"/>
      <c r="C41" s="148"/>
      <c r="D41" s="149"/>
      <c r="E41" s="405"/>
      <c r="F41" s="405"/>
      <c r="G41" s="405"/>
      <c r="J41" s="405"/>
      <c r="K41" s="405"/>
      <c r="L41" s="405"/>
    </row>
    <row r="42" spans="2:12" s="150" customFormat="1" ht="17.25" customHeight="1" x14ac:dyDescent="0.25">
      <c r="B42" s="148"/>
      <c r="C42" s="148"/>
      <c r="D42" s="149"/>
      <c r="E42" s="406" t="s">
        <v>328</v>
      </c>
      <c r="F42" s="406"/>
      <c r="G42" s="406"/>
      <c r="H42" s="406"/>
      <c r="J42" s="406" t="s">
        <v>329</v>
      </c>
      <c r="K42" s="406"/>
      <c r="L42" s="406"/>
    </row>
    <row r="43" spans="2:12" s="150" customFormat="1" ht="27" customHeight="1" x14ac:dyDescent="0.25">
      <c r="B43" s="148"/>
      <c r="C43" s="148"/>
      <c r="D43" s="149"/>
    </row>
    <row r="44" spans="2:12" s="150" customFormat="1" ht="27" customHeight="1" x14ac:dyDescent="0.25">
      <c r="B44" s="148"/>
      <c r="C44" s="148"/>
      <c r="D44" s="149"/>
    </row>
    <row r="45" spans="2:12" s="150" customFormat="1" ht="27" customHeight="1" x14ac:dyDescent="0.25">
      <c r="B45" s="148"/>
      <c r="C45" s="148"/>
      <c r="D45" s="149"/>
    </row>
    <row r="46" spans="2:12" s="150" customFormat="1" ht="27" customHeight="1" x14ac:dyDescent="0.25">
      <c r="B46" s="148"/>
      <c r="C46" s="148"/>
      <c r="D46" s="149"/>
    </row>
    <row r="47" spans="2:12" s="150" customFormat="1" ht="27" customHeight="1" x14ac:dyDescent="0.25">
      <c r="B47" s="148"/>
      <c r="C47" s="148"/>
      <c r="D47" s="149"/>
    </row>
    <row r="48" spans="2:12" s="150" customFormat="1" ht="27" customHeight="1" x14ac:dyDescent="0.25">
      <c r="B48" s="148"/>
      <c r="C48" s="148"/>
      <c r="D48" s="149"/>
    </row>
    <row r="49" spans="2:4" s="150" customFormat="1" ht="27" customHeight="1" x14ac:dyDescent="0.25">
      <c r="B49" s="148"/>
      <c r="C49" s="148"/>
      <c r="D49" s="149"/>
    </row>
    <row r="50" spans="2:4" s="150" customFormat="1" ht="27" customHeight="1" x14ac:dyDescent="0.25">
      <c r="B50" s="148"/>
      <c r="C50" s="148"/>
      <c r="D50" s="149"/>
    </row>
    <row r="51" spans="2:4" s="150" customFormat="1" ht="27" customHeight="1" x14ac:dyDescent="0.25">
      <c r="B51" s="148"/>
      <c r="C51" s="148"/>
      <c r="D51" s="149"/>
    </row>
    <row r="52" spans="2:4" s="150" customFormat="1" ht="27" customHeight="1" x14ac:dyDescent="0.25">
      <c r="B52" s="148"/>
      <c r="C52" s="148"/>
      <c r="D52" s="149"/>
    </row>
    <row r="53" spans="2:4" s="150" customFormat="1" ht="27" customHeight="1" x14ac:dyDescent="0.25">
      <c r="B53" s="148"/>
      <c r="C53" s="148"/>
      <c r="D53" s="149"/>
    </row>
    <row r="54" spans="2:4" s="150" customFormat="1" ht="27" customHeight="1" x14ac:dyDescent="0.25">
      <c r="B54" s="148"/>
      <c r="C54" s="148"/>
      <c r="D54" s="149"/>
    </row>
    <row r="55" spans="2:4" s="150" customFormat="1" ht="27" customHeight="1" x14ac:dyDescent="0.25">
      <c r="B55" s="148"/>
      <c r="C55" s="148"/>
      <c r="D55" s="149"/>
    </row>
    <row r="56" spans="2:4" s="150" customFormat="1" ht="27" customHeight="1" x14ac:dyDescent="0.25">
      <c r="B56" s="148"/>
      <c r="C56" s="148"/>
      <c r="D56" s="149"/>
    </row>
    <row r="57" spans="2:4" s="150" customFormat="1" ht="27" customHeight="1" x14ac:dyDescent="0.25">
      <c r="B57" s="148"/>
      <c r="C57" s="148"/>
      <c r="D57" s="149"/>
    </row>
    <row r="58" spans="2:4" s="150" customFormat="1" ht="27" customHeight="1" x14ac:dyDescent="0.25">
      <c r="B58" s="148"/>
      <c r="C58" s="148"/>
      <c r="D58" s="149"/>
    </row>
    <row r="59" spans="2:4" s="150" customFormat="1" ht="27" customHeight="1" x14ac:dyDescent="0.25">
      <c r="B59" s="148"/>
      <c r="C59" s="148"/>
      <c r="D59" s="149"/>
    </row>
    <row r="60" spans="2:4" s="150" customFormat="1" ht="27" customHeight="1" x14ac:dyDescent="0.25">
      <c r="B60" s="148"/>
      <c r="C60" s="148"/>
      <c r="D60" s="149"/>
    </row>
    <row r="61" spans="2:4" s="150" customFormat="1" ht="27" customHeight="1" x14ac:dyDescent="0.25">
      <c r="B61" s="148"/>
      <c r="C61" s="148"/>
      <c r="D61" s="149"/>
    </row>
    <row r="62" spans="2:4" s="150" customFormat="1" ht="27" customHeight="1" x14ac:dyDescent="0.25">
      <c r="B62" s="148"/>
      <c r="C62" s="148"/>
      <c r="D62" s="149"/>
    </row>
    <row r="63" spans="2:4" s="150" customFormat="1" ht="27" customHeight="1" x14ac:dyDescent="0.25">
      <c r="B63" s="148"/>
      <c r="C63" s="148"/>
      <c r="D63" s="149"/>
    </row>
    <row r="64" spans="2:4" s="150" customFormat="1" ht="27" customHeight="1" x14ac:dyDescent="0.25">
      <c r="B64" s="148"/>
      <c r="C64" s="148"/>
      <c r="D64" s="149"/>
    </row>
    <row r="65" spans="2:4" s="150" customFormat="1" ht="27" customHeight="1" x14ac:dyDescent="0.25">
      <c r="B65" s="148"/>
      <c r="C65" s="148"/>
      <c r="D65" s="149"/>
    </row>
    <row r="66" spans="2:4" s="150" customFormat="1" ht="27" customHeight="1" x14ac:dyDescent="0.25">
      <c r="B66" s="148"/>
      <c r="C66" s="148"/>
      <c r="D66" s="149"/>
    </row>
    <row r="67" spans="2:4" s="150" customFormat="1" ht="27" customHeight="1" x14ac:dyDescent="0.25">
      <c r="B67" s="148"/>
      <c r="C67" s="148"/>
      <c r="D67" s="149"/>
    </row>
    <row r="68" spans="2:4" s="150" customFormat="1" ht="27" customHeight="1" x14ac:dyDescent="0.25">
      <c r="B68" s="148"/>
      <c r="C68" s="148"/>
      <c r="D68" s="149"/>
    </row>
    <row r="69" spans="2:4" s="150" customFormat="1" ht="27" customHeight="1" x14ac:dyDescent="0.25">
      <c r="B69" s="148"/>
      <c r="C69" s="148"/>
      <c r="D69" s="149"/>
    </row>
    <row r="70" spans="2:4" s="150" customFormat="1" ht="27" customHeight="1" x14ac:dyDescent="0.25">
      <c r="B70" s="148"/>
      <c r="C70" s="148"/>
      <c r="D70" s="149"/>
    </row>
    <row r="71" spans="2:4" s="150" customFormat="1" ht="27" customHeight="1" x14ac:dyDescent="0.25">
      <c r="B71" s="148"/>
      <c r="C71" s="148"/>
      <c r="D71" s="149"/>
    </row>
    <row r="72" spans="2:4" s="150" customFormat="1" ht="27" customHeight="1" x14ac:dyDescent="0.25">
      <c r="B72" s="148"/>
      <c r="C72" s="148"/>
      <c r="D72" s="149"/>
    </row>
    <row r="73" spans="2:4" s="150" customFormat="1" ht="27" customHeight="1" x14ac:dyDescent="0.25">
      <c r="B73" s="148"/>
      <c r="C73" s="148"/>
      <c r="D73" s="149"/>
    </row>
    <row r="74" spans="2:4" s="150" customFormat="1" ht="27" customHeight="1" x14ac:dyDescent="0.25">
      <c r="B74" s="148"/>
      <c r="C74" s="148"/>
      <c r="D74" s="149"/>
    </row>
    <row r="75" spans="2:4" s="150" customFormat="1" ht="27" customHeight="1" x14ac:dyDescent="0.25">
      <c r="B75" s="148"/>
      <c r="C75" s="148"/>
      <c r="D75" s="149"/>
    </row>
    <row r="76" spans="2:4" s="150" customFormat="1" ht="27" customHeight="1" x14ac:dyDescent="0.25">
      <c r="B76" s="148"/>
      <c r="C76" s="148"/>
      <c r="D76" s="149"/>
    </row>
    <row r="77" spans="2:4" s="150" customFormat="1" ht="27" customHeight="1" x14ac:dyDescent="0.25">
      <c r="B77" s="148"/>
      <c r="C77" s="148"/>
      <c r="D77" s="149"/>
    </row>
    <row r="78" spans="2:4" s="150" customFormat="1" ht="27" customHeight="1" x14ac:dyDescent="0.25">
      <c r="B78" s="148"/>
      <c r="C78" s="148"/>
      <c r="D78" s="149"/>
    </row>
    <row r="79" spans="2:4" s="150" customFormat="1" ht="27" customHeight="1" x14ac:dyDescent="0.25">
      <c r="B79" s="148"/>
      <c r="C79" s="148"/>
      <c r="D79" s="149"/>
    </row>
    <row r="80" spans="2:4" s="150" customFormat="1" ht="27" customHeight="1" x14ac:dyDescent="0.25">
      <c r="B80" s="148"/>
      <c r="C80" s="148"/>
      <c r="D80" s="149"/>
    </row>
    <row r="81" spans="2:4" s="150" customFormat="1" ht="27" customHeight="1" x14ac:dyDescent="0.25">
      <c r="B81" s="148"/>
      <c r="C81" s="148"/>
      <c r="D81" s="149"/>
    </row>
    <row r="82" spans="2:4" s="150" customFormat="1" ht="27" customHeight="1" x14ac:dyDescent="0.25">
      <c r="B82" s="148"/>
      <c r="C82" s="148"/>
      <c r="D82" s="149"/>
    </row>
    <row r="83" spans="2:4" s="150" customFormat="1" ht="27" customHeight="1" x14ac:dyDescent="0.25">
      <c r="B83" s="148"/>
      <c r="C83" s="148"/>
      <c r="D83" s="149"/>
    </row>
    <row r="84" spans="2:4" s="150" customFormat="1" ht="27" customHeight="1" x14ac:dyDescent="0.25">
      <c r="B84" s="148"/>
      <c r="C84" s="148"/>
      <c r="D84" s="149"/>
    </row>
    <row r="85" spans="2:4" s="150" customFormat="1" ht="27" customHeight="1" x14ac:dyDescent="0.25">
      <c r="B85" s="148"/>
      <c r="C85" s="148"/>
      <c r="D85" s="149"/>
    </row>
    <row r="86" spans="2:4" s="150" customFormat="1" ht="27" customHeight="1" x14ac:dyDescent="0.25">
      <c r="B86" s="148"/>
      <c r="C86" s="148"/>
      <c r="D86" s="149"/>
    </row>
    <row r="87" spans="2:4" s="150" customFormat="1" ht="27" customHeight="1" x14ac:dyDescent="0.25">
      <c r="B87" s="148"/>
      <c r="C87" s="148"/>
      <c r="D87" s="149"/>
    </row>
    <row r="88" spans="2:4" s="150" customFormat="1" ht="27" customHeight="1" x14ac:dyDescent="0.25">
      <c r="B88" s="148"/>
      <c r="C88" s="148"/>
      <c r="D88" s="149"/>
    </row>
    <row r="89" spans="2:4" s="150" customFormat="1" ht="27" customHeight="1" x14ac:dyDescent="0.25">
      <c r="B89" s="148"/>
      <c r="C89" s="148"/>
      <c r="D89" s="149"/>
    </row>
    <row r="90" spans="2:4" s="150" customFormat="1" ht="27" customHeight="1" x14ac:dyDescent="0.25">
      <c r="B90" s="148"/>
      <c r="C90" s="148"/>
      <c r="D90" s="149"/>
    </row>
    <row r="91" spans="2:4" s="150" customFormat="1" ht="27" customHeight="1" x14ac:dyDescent="0.25">
      <c r="B91" s="148"/>
      <c r="C91" s="148"/>
      <c r="D91" s="149"/>
    </row>
    <row r="92" spans="2:4" s="150" customFormat="1" ht="27" customHeight="1" x14ac:dyDescent="0.25">
      <c r="B92" s="148"/>
      <c r="C92" s="148"/>
      <c r="D92" s="149"/>
    </row>
    <row r="93" spans="2:4" s="150" customFormat="1" ht="27" customHeight="1" x14ac:dyDescent="0.25">
      <c r="B93" s="148"/>
      <c r="C93" s="148"/>
      <c r="D93" s="149"/>
    </row>
    <row r="94" spans="2:4" s="150" customFormat="1" ht="27" customHeight="1" x14ac:dyDescent="0.25">
      <c r="B94" s="148"/>
      <c r="C94" s="148"/>
      <c r="D94" s="149"/>
    </row>
    <row r="95" spans="2:4" s="150" customFormat="1" ht="27" customHeight="1" x14ac:dyDescent="0.25">
      <c r="B95" s="148"/>
      <c r="C95" s="148"/>
      <c r="D95" s="149"/>
    </row>
    <row r="96" spans="2:4" s="150" customFormat="1" ht="27" customHeight="1" x14ac:dyDescent="0.25">
      <c r="B96" s="148"/>
      <c r="C96" s="148"/>
      <c r="D96" s="149"/>
    </row>
  </sheetData>
  <sheetProtection formatCells="0" formatColumns="0" formatRows="0" insertRows="0" sort="0"/>
  <mergeCells count="10">
    <mergeCell ref="J41:L41"/>
    <mergeCell ref="J42:L42"/>
    <mergeCell ref="E42:H42"/>
    <mergeCell ref="B2:C4"/>
    <mergeCell ref="D2:I2"/>
    <mergeCell ref="J2:J3"/>
    <mergeCell ref="K2:L3"/>
    <mergeCell ref="D3:I4"/>
    <mergeCell ref="K4:L4"/>
    <mergeCell ref="E41:G41"/>
  </mergeCells>
  <phoneticPr fontId="83" type="noConversion"/>
  <conditionalFormatting sqref="B7:L39">
    <cfRule type="expression" dxfId="20" priority="79">
      <formula>$H7=1</formula>
    </cfRule>
  </conditionalFormatting>
  <conditionalFormatting sqref="E7:L39">
    <cfRule type="expression" dxfId="19" priority="3">
      <formula>$H7=1</formula>
    </cfRule>
  </conditionalFormatting>
  <conditionalFormatting sqref="I7:I39">
    <cfRule type="expression" dxfId="18" priority="73">
      <formula>$G7=TRUE</formula>
    </cfRule>
  </conditionalFormatting>
  <conditionalFormatting sqref="J7:L39">
    <cfRule type="expression" dxfId="17" priority="77">
      <formula>$G7=FALSE</formula>
    </cfRule>
  </conditionalFormatting>
  <dataValidations count="2">
    <dataValidation allowBlank="1" showInputMessage="1" showErrorMessage="1" prompt="Nome do Responsável pela Ação" sqref="E34:E39" xr:uid="{076F7118-8DE2-463C-8A7C-619C9B6FFFF6}"/>
    <dataValidation allowBlank="1" showInputMessage="1" showErrorMessage="1" prompt="Nome do Responsável pela VERIFICAÇÃO da Execução da Ação" sqref="F34:F39" xr:uid="{7B6CA61C-1039-45BA-AC7C-F67951925DA5}"/>
  </dataValidations>
  <printOptions horizontalCentered="1"/>
  <pageMargins left="0.31496062992125984" right="0.31496062992125984" top="0.31496062992125984" bottom="0.43307086614173229" header="0.19685039370078741" footer="0.19685039370078741"/>
  <pageSetup paperSize="9" scale="65" fitToHeight="0" orientation="portrait" r:id="rId1"/>
  <headerFooter>
    <oddFooter>&amp;L&amp;12&amp;K0000FF&amp;A&amp;C&amp;12&amp;K0000FFPágina &amp;P de &amp;N&amp;R&amp;12&amp;K0000FFImpresso em: &amp;D &amp;T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691A3F-685B-4D4E-AF7D-1C88B41B9F06}">
          <x14:formula1>
            <xm:f>Auxiliar!$B$3:$B$20</xm:f>
          </x14:formula1>
          <xm:sqref>B7:B39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65C-653F-4E22-8EBF-003606D416A9}">
  <sheetPr codeName="Planilha9">
    <tabColor rgb="FFF9B50B"/>
  </sheetPr>
  <dimension ref="A1:D71"/>
  <sheetViews>
    <sheetView workbookViewId="0">
      <pane ySplit="1" topLeftCell="A59" activePane="bottomLeft" state="frozen"/>
      <selection pane="bottomLeft" activeCell="A72" sqref="A72"/>
    </sheetView>
  </sheetViews>
  <sheetFormatPr defaultColWidth="15.140625" defaultRowHeight="18.75" customHeight="1" x14ac:dyDescent="0.25"/>
  <cols>
    <col min="1" max="1" width="48.5703125" bestFit="1" customWidth="1"/>
    <col min="2" max="2" width="21.85546875" bestFit="1" customWidth="1"/>
    <col min="3" max="3" width="18.7109375" customWidth="1"/>
    <col min="4" max="4" width="17" bestFit="1" customWidth="1"/>
  </cols>
  <sheetData>
    <row r="1" spans="1:4" ht="31.5" x14ac:dyDescent="0.25">
      <c r="A1" s="83" t="s">
        <v>330</v>
      </c>
      <c r="B1" s="83" t="s">
        <v>232</v>
      </c>
      <c r="C1" s="84" t="s">
        <v>331</v>
      </c>
      <c r="D1" s="83" t="s">
        <v>332</v>
      </c>
    </row>
    <row r="2" spans="1:4" ht="18.75" customHeight="1" x14ac:dyDescent="0.25">
      <c r="A2" s="69" t="s">
        <v>333</v>
      </c>
      <c r="B2" s="68" t="s">
        <v>334</v>
      </c>
      <c r="C2" s="70">
        <v>267852</v>
      </c>
      <c r="D2" s="71" t="s">
        <v>335</v>
      </c>
    </row>
    <row r="3" spans="1:4" ht="18.75" customHeight="1" x14ac:dyDescent="0.25">
      <c r="A3" s="69" t="s">
        <v>336</v>
      </c>
      <c r="B3" s="68" t="s">
        <v>337</v>
      </c>
      <c r="C3" s="70">
        <v>256912</v>
      </c>
      <c r="D3" s="71" t="s">
        <v>338</v>
      </c>
    </row>
    <row r="4" spans="1:4" ht="18.75" customHeight="1" x14ac:dyDescent="0.25">
      <c r="A4" s="69" t="s">
        <v>339</v>
      </c>
      <c r="B4" s="68" t="s">
        <v>337</v>
      </c>
      <c r="C4" s="70">
        <v>263052</v>
      </c>
      <c r="D4" s="71" t="s">
        <v>340</v>
      </c>
    </row>
    <row r="5" spans="1:4" ht="18.75" customHeight="1" x14ac:dyDescent="0.25">
      <c r="A5" s="69" t="s">
        <v>341</v>
      </c>
      <c r="B5" s="68" t="s">
        <v>337</v>
      </c>
      <c r="C5" s="70">
        <v>269646</v>
      </c>
      <c r="D5" s="71" t="s">
        <v>342</v>
      </c>
    </row>
    <row r="6" spans="1:4" ht="18.75" customHeight="1" x14ac:dyDescent="0.25">
      <c r="A6" s="69" t="s">
        <v>343</v>
      </c>
      <c r="B6" s="68" t="s">
        <v>337</v>
      </c>
      <c r="C6" s="70">
        <v>258664</v>
      </c>
      <c r="D6" s="71" t="s">
        <v>344</v>
      </c>
    </row>
    <row r="7" spans="1:4" ht="18.75" customHeight="1" x14ac:dyDescent="0.25">
      <c r="A7" s="72" t="s">
        <v>345</v>
      </c>
      <c r="B7" s="68" t="s">
        <v>346</v>
      </c>
      <c r="C7" s="70">
        <v>259608</v>
      </c>
      <c r="D7" s="71" t="s">
        <v>347</v>
      </c>
    </row>
    <row r="8" spans="1:4" ht="18.75" customHeight="1" x14ac:dyDescent="0.25">
      <c r="A8" s="72" t="s">
        <v>348</v>
      </c>
      <c r="B8" s="68" t="s">
        <v>346</v>
      </c>
      <c r="C8" s="70">
        <v>267238</v>
      </c>
      <c r="D8" s="71" t="s">
        <v>349</v>
      </c>
    </row>
    <row r="9" spans="1:4" ht="18.75" customHeight="1" x14ac:dyDescent="0.25">
      <c r="A9" s="69" t="s">
        <v>350</v>
      </c>
      <c r="B9" s="68" t="s">
        <v>351</v>
      </c>
      <c r="C9" s="68">
        <v>329176</v>
      </c>
      <c r="D9" s="71" t="s">
        <v>352</v>
      </c>
    </row>
    <row r="10" spans="1:4" ht="18.75" customHeight="1" x14ac:dyDescent="0.25">
      <c r="A10" s="69" t="s">
        <v>353</v>
      </c>
      <c r="B10" s="68" t="s">
        <v>351</v>
      </c>
      <c r="C10" s="70">
        <v>341371</v>
      </c>
      <c r="D10" s="71" t="s">
        <v>354</v>
      </c>
    </row>
    <row r="11" spans="1:4" ht="18.75" customHeight="1" x14ac:dyDescent="0.25">
      <c r="A11" s="69" t="s">
        <v>355</v>
      </c>
      <c r="B11" s="68" t="s">
        <v>351</v>
      </c>
      <c r="C11" s="70">
        <v>91000642</v>
      </c>
      <c r="D11" s="71" t="s">
        <v>356</v>
      </c>
    </row>
    <row r="12" spans="1:4" ht="18.75" customHeight="1" x14ac:dyDescent="0.25">
      <c r="A12" s="69" t="s">
        <v>357</v>
      </c>
      <c r="B12" s="68" t="s">
        <v>358</v>
      </c>
      <c r="C12" s="73">
        <v>329172</v>
      </c>
      <c r="D12" s="71" t="s">
        <v>359</v>
      </c>
    </row>
    <row r="13" spans="1:4" ht="18.75" customHeight="1" x14ac:dyDescent="0.25">
      <c r="A13" s="69" t="s">
        <v>360</v>
      </c>
      <c r="B13" s="68" t="s">
        <v>358</v>
      </c>
      <c r="C13" s="73">
        <v>329179</v>
      </c>
      <c r="D13" s="71" t="s">
        <v>361</v>
      </c>
    </row>
    <row r="14" spans="1:4" ht="18.75" customHeight="1" x14ac:dyDescent="0.25">
      <c r="A14" s="69" t="s">
        <v>362</v>
      </c>
      <c r="B14" s="68" t="s">
        <v>358</v>
      </c>
      <c r="C14" s="74">
        <v>331858</v>
      </c>
      <c r="D14" s="71" t="s">
        <v>363</v>
      </c>
    </row>
    <row r="15" spans="1:4" ht="18.75" customHeight="1" x14ac:dyDescent="0.25">
      <c r="A15" s="72" t="s">
        <v>11</v>
      </c>
      <c r="B15" s="75" t="s">
        <v>364</v>
      </c>
      <c r="C15" s="73">
        <v>329170</v>
      </c>
      <c r="D15" s="76" t="s">
        <v>365</v>
      </c>
    </row>
    <row r="16" spans="1:4" ht="18.75" customHeight="1" x14ac:dyDescent="0.25">
      <c r="A16" s="72" t="s">
        <v>241</v>
      </c>
      <c r="B16" s="75" t="s">
        <v>364</v>
      </c>
      <c r="C16" s="73">
        <v>341374</v>
      </c>
      <c r="D16" s="76" t="s">
        <v>366</v>
      </c>
    </row>
    <row r="17" spans="1:4" ht="18.75" customHeight="1" x14ac:dyDescent="0.25">
      <c r="A17" s="69" t="s">
        <v>242</v>
      </c>
      <c r="B17" s="68" t="s">
        <v>364</v>
      </c>
      <c r="C17" s="73">
        <v>341373</v>
      </c>
      <c r="D17" s="71" t="s">
        <v>367</v>
      </c>
    </row>
    <row r="18" spans="1:4" ht="18.75" customHeight="1" x14ac:dyDescent="0.25">
      <c r="A18" s="69" t="s">
        <v>368</v>
      </c>
      <c r="B18" s="68" t="s">
        <v>369</v>
      </c>
      <c r="C18" s="73">
        <v>329173</v>
      </c>
      <c r="D18" s="71" t="s">
        <v>370</v>
      </c>
    </row>
    <row r="19" spans="1:4" ht="18.75" customHeight="1" x14ac:dyDescent="0.25">
      <c r="A19" s="69" t="s">
        <v>371</v>
      </c>
      <c r="B19" s="68" t="s">
        <v>369</v>
      </c>
      <c r="C19" s="68">
        <v>331247</v>
      </c>
      <c r="D19" s="71" t="s">
        <v>372</v>
      </c>
    </row>
    <row r="20" spans="1:4" ht="18.75" customHeight="1" x14ac:dyDescent="0.25">
      <c r="A20" s="72" t="s">
        <v>373</v>
      </c>
      <c r="B20" s="75" t="s">
        <v>374</v>
      </c>
      <c r="C20" s="73">
        <v>329182</v>
      </c>
      <c r="D20" s="76" t="s">
        <v>375</v>
      </c>
    </row>
    <row r="21" spans="1:4" ht="18.75" customHeight="1" x14ac:dyDescent="0.25">
      <c r="A21" s="72" t="s">
        <v>376</v>
      </c>
      <c r="B21" s="75" t="s">
        <v>374</v>
      </c>
      <c r="C21" s="73">
        <v>331248</v>
      </c>
      <c r="D21" s="76" t="s">
        <v>377</v>
      </c>
    </row>
    <row r="22" spans="1:4" ht="18.75" customHeight="1" x14ac:dyDescent="0.25">
      <c r="A22" s="69" t="s">
        <v>378</v>
      </c>
      <c r="B22" s="68" t="s">
        <v>374</v>
      </c>
      <c r="C22" s="70">
        <v>338367</v>
      </c>
      <c r="D22" s="76" t="s">
        <v>379</v>
      </c>
    </row>
    <row r="23" spans="1:4" ht="18.75" customHeight="1" x14ac:dyDescent="0.25">
      <c r="A23" s="72" t="s">
        <v>380</v>
      </c>
      <c r="B23" s="68" t="s">
        <v>374</v>
      </c>
      <c r="C23" s="75">
        <v>338366</v>
      </c>
      <c r="D23" s="76" t="s">
        <v>381</v>
      </c>
    </row>
    <row r="24" spans="1:4" ht="18.75" customHeight="1" x14ac:dyDescent="0.25">
      <c r="A24" s="69" t="s">
        <v>382</v>
      </c>
      <c r="B24" s="68" t="s">
        <v>383</v>
      </c>
      <c r="C24" s="70">
        <v>262549</v>
      </c>
      <c r="D24" s="71" t="s">
        <v>384</v>
      </c>
    </row>
    <row r="25" spans="1:4" ht="18.75" customHeight="1" x14ac:dyDescent="0.25">
      <c r="A25" s="69" t="s">
        <v>385</v>
      </c>
      <c r="B25" s="68" t="s">
        <v>383</v>
      </c>
      <c r="C25" s="70">
        <v>263253</v>
      </c>
      <c r="D25" s="71" t="s">
        <v>386</v>
      </c>
    </row>
    <row r="26" spans="1:4" ht="18.75" customHeight="1" x14ac:dyDescent="0.25">
      <c r="A26" s="69" t="s">
        <v>387</v>
      </c>
      <c r="B26" s="68" t="s">
        <v>383</v>
      </c>
      <c r="C26" s="70">
        <v>264065</v>
      </c>
      <c r="D26" s="71" t="s">
        <v>388</v>
      </c>
    </row>
    <row r="27" spans="1:4" ht="18.75" customHeight="1" x14ac:dyDescent="0.25">
      <c r="A27" s="69" t="s">
        <v>389</v>
      </c>
      <c r="B27" s="68" t="s">
        <v>383</v>
      </c>
      <c r="C27" s="70">
        <v>256866</v>
      </c>
      <c r="D27" s="71" t="s">
        <v>390</v>
      </c>
    </row>
    <row r="28" spans="1:4" ht="18.75" customHeight="1" x14ac:dyDescent="0.25">
      <c r="A28" s="69" t="s">
        <v>391</v>
      </c>
      <c r="B28" s="68" t="s">
        <v>383</v>
      </c>
      <c r="C28" s="70">
        <v>265087</v>
      </c>
      <c r="D28" s="71" t="s">
        <v>392</v>
      </c>
    </row>
    <row r="29" spans="1:4" ht="18.75" customHeight="1" x14ac:dyDescent="0.25">
      <c r="A29" s="69" t="s">
        <v>393</v>
      </c>
      <c r="B29" s="68" t="s">
        <v>383</v>
      </c>
      <c r="C29" s="70">
        <v>337512</v>
      </c>
      <c r="D29" s="71" t="s">
        <v>394</v>
      </c>
    </row>
    <row r="30" spans="1:4" ht="18.75" customHeight="1" x14ac:dyDescent="0.25">
      <c r="A30" s="69" t="s">
        <v>7</v>
      </c>
      <c r="B30" s="68" t="s">
        <v>383</v>
      </c>
      <c r="C30" s="70">
        <v>268186</v>
      </c>
      <c r="D30" s="71" t="s">
        <v>395</v>
      </c>
    </row>
    <row r="31" spans="1:4" ht="18.75" customHeight="1" x14ac:dyDescent="0.25">
      <c r="A31" s="69" t="s">
        <v>237</v>
      </c>
      <c r="B31" s="68" t="s">
        <v>383</v>
      </c>
      <c r="C31" s="70">
        <v>257946</v>
      </c>
      <c r="D31" s="71" t="s">
        <v>396</v>
      </c>
    </row>
    <row r="32" spans="1:4" ht="18.75" customHeight="1" x14ac:dyDescent="0.25">
      <c r="A32" s="69" t="s">
        <v>238</v>
      </c>
      <c r="B32" s="68" t="s">
        <v>383</v>
      </c>
      <c r="C32" s="70">
        <v>269848</v>
      </c>
      <c r="D32" s="71" t="s">
        <v>397</v>
      </c>
    </row>
    <row r="33" spans="1:4" ht="18.75" customHeight="1" x14ac:dyDescent="0.25">
      <c r="A33" s="69" t="s">
        <v>239</v>
      </c>
      <c r="B33" s="68" t="s">
        <v>383</v>
      </c>
      <c r="C33" s="70">
        <v>264243</v>
      </c>
      <c r="D33" s="71" t="s">
        <v>398</v>
      </c>
    </row>
    <row r="34" spans="1:4" ht="18.75" customHeight="1" x14ac:dyDescent="0.25">
      <c r="A34" s="69" t="s">
        <v>240</v>
      </c>
      <c r="B34" s="68" t="s">
        <v>383</v>
      </c>
      <c r="C34" s="70">
        <v>266279</v>
      </c>
      <c r="D34" s="71" t="s">
        <v>399</v>
      </c>
    </row>
    <row r="35" spans="1:4" ht="18.75" customHeight="1" x14ac:dyDescent="0.25">
      <c r="A35" s="69" t="s">
        <v>400</v>
      </c>
      <c r="B35" s="68" t="s">
        <v>383</v>
      </c>
      <c r="C35" s="70">
        <v>265495</v>
      </c>
      <c r="D35" s="71" t="s">
        <v>401</v>
      </c>
    </row>
    <row r="36" spans="1:4" ht="18.75" customHeight="1" x14ac:dyDescent="0.25">
      <c r="A36" s="69" t="s">
        <v>402</v>
      </c>
      <c r="B36" s="68" t="s">
        <v>383</v>
      </c>
      <c r="C36" s="70">
        <v>265521</v>
      </c>
      <c r="D36" s="71" t="s">
        <v>403</v>
      </c>
    </row>
    <row r="37" spans="1:4" ht="18.75" customHeight="1" x14ac:dyDescent="0.25">
      <c r="A37" s="69" t="s">
        <v>404</v>
      </c>
      <c r="B37" s="68" t="s">
        <v>383</v>
      </c>
      <c r="C37" s="70">
        <v>267918</v>
      </c>
      <c r="D37" s="71" t="s">
        <v>405</v>
      </c>
    </row>
    <row r="38" spans="1:4" ht="18.75" customHeight="1" x14ac:dyDescent="0.25">
      <c r="A38" s="69" t="s">
        <v>406</v>
      </c>
      <c r="B38" s="68" t="s">
        <v>383</v>
      </c>
      <c r="C38" s="70">
        <v>262853</v>
      </c>
      <c r="D38" s="71" t="s">
        <v>407</v>
      </c>
    </row>
    <row r="39" spans="1:4" ht="18.75" customHeight="1" x14ac:dyDescent="0.25">
      <c r="A39" s="69" t="s">
        <v>408</v>
      </c>
      <c r="B39" s="68" t="s">
        <v>383</v>
      </c>
      <c r="C39" s="70">
        <v>260583</v>
      </c>
      <c r="D39" s="71" t="s">
        <v>409</v>
      </c>
    </row>
    <row r="40" spans="1:4" ht="18.75" customHeight="1" x14ac:dyDescent="0.25">
      <c r="A40" s="69" t="s">
        <v>410</v>
      </c>
      <c r="B40" s="68" t="s">
        <v>383</v>
      </c>
      <c r="C40" s="70">
        <v>269720</v>
      </c>
      <c r="D40" s="77" t="s">
        <v>411</v>
      </c>
    </row>
    <row r="41" spans="1:4" ht="18.75" customHeight="1" x14ac:dyDescent="0.25">
      <c r="A41" s="69" t="s">
        <v>412</v>
      </c>
      <c r="B41" s="68" t="s">
        <v>413</v>
      </c>
      <c r="C41" s="68" t="s">
        <v>414</v>
      </c>
      <c r="D41" s="71" t="s">
        <v>415</v>
      </c>
    </row>
    <row r="42" spans="1:4" ht="18.75" customHeight="1" x14ac:dyDescent="0.25">
      <c r="A42" s="69" t="s">
        <v>416</v>
      </c>
      <c r="B42" s="75" t="s">
        <v>413</v>
      </c>
      <c r="C42" s="68" t="s">
        <v>417</v>
      </c>
      <c r="D42" s="71" t="s">
        <v>418</v>
      </c>
    </row>
    <row r="43" spans="1:4" ht="18.75" customHeight="1" x14ac:dyDescent="0.25">
      <c r="A43" s="69" t="s">
        <v>419</v>
      </c>
      <c r="B43" s="75" t="s">
        <v>413</v>
      </c>
      <c r="C43" s="70" t="s">
        <v>420</v>
      </c>
      <c r="D43" s="71" t="s">
        <v>421</v>
      </c>
    </row>
    <row r="44" spans="1:4" ht="18.75" customHeight="1" x14ac:dyDescent="0.25">
      <c r="A44" s="69" t="s">
        <v>422</v>
      </c>
      <c r="B44" s="68" t="s">
        <v>413</v>
      </c>
      <c r="C44" s="68" t="s">
        <v>423</v>
      </c>
      <c r="D44" s="71" t="s">
        <v>424</v>
      </c>
    </row>
    <row r="45" spans="1:4" ht="18.75" customHeight="1" x14ac:dyDescent="0.25">
      <c r="A45" s="69" t="s">
        <v>425</v>
      </c>
      <c r="B45" s="68" t="s">
        <v>413</v>
      </c>
      <c r="C45" s="70" t="s">
        <v>426</v>
      </c>
      <c r="D45" s="71" t="s">
        <v>427</v>
      </c>
    </row>
    <row r="46" spans="1:4" ht="18.75" customHeight="1" x14ac:dyDescent="0.25">
      <c r="A46" s="69" t="s">
        <v>428</v>
      </c>
      <c r="B46" s="75" t="s">
        <v>413</v>
      </c>
      <c r="C46" s="68" t="s">
        <v>429</v>
      </c>
      <c r="D46" s="71" t="s">
        <v>430</v>
      </c>
    </row>
    <row r="47" spans="1:4" ht="18.75" customHeight="1" x14ac:dyDescent="0.25">
      <c r="A47" s="69" t="s">
        <v>431</v>
      </c>
      <c r="B47" s="68" t="s">
        <v>432</v>
      </c>
      <c r="C47" s="70">
        <v>263303</v>
      </c>
      <c r="D47" s="71" t="s">
        <v>433</v>
      </c>
    </row>
    <row r="48" spans="1:4" ht="18.75" customHeight="1" x14ac:dyDescent="0.25">
      <c r="A48" s="69" t="s">
        <v>434</v>
      </c>
      <c r="B48" s="68" t="s">
        <v>432</v>
      </c>
      <c r="C48" s="70">
        <v>264001</v>
      </c>
      <c r="D48" s="71" t="s">
        <v>435</v>
      </c>
    </row>
    <row r="49" spans="1:4" ht="18.75" customHeight="1" x14ac:dyDescent="0.25">
      <c r="A49" s="69" t="s">
        <v>436</v>
      </c>
      <c r="B49" s="68" t="s">
        <v>432</v>
      </c>
      <c r="C49" s="70">
        <v>262665</v>
      </c>
      <c r="D49" s="71" t="s">
        <v>437</v>
      </c>
    </row>
    <row r="50" spans="1:4" ht="18.75" customHeight="1" x14ac:dyDescent="0.25">
      <c r="A50" s="69" t="s">
        <v>438</v>
      </c>
      <c r="B50" s="68" t="s">
        <v>432</v>
      </c>
      <c r="C50" s="70">
        <v>330337</v>
      </c>
      <c r="D50" s="71" t="s">
        <v>439</v>
      </c>
    </row>
    <row r="51" spans="1:4" ht="18.75" customHeight="1" x14ac:dyDescent="0.25">
      <c r="A51" s="69" t="s">
        <v>440</v>
      </c>
      <c r="B51" s="68" t="s">
        <v>432</v>
      </c>
      <c r="C51" s="70">
        <v>337513</v>
      </c>
      <c r="D51" s="71" t="s">
        <v>441</v>
      </c>
    </row>
    <row r="52" spans="1:4" ht="18.75" customHeight="1" x14ac:dyDescent="0.25">
      <c r="A52" s="69" t="s">
        <v>442</v>
      </c>
      <c r="B52" s="68" t="s">
        <v>432</v>
      </c>
      <c r="C52" s="70">
        <v>330338</v>
      </c>
      <c r="D52" s="71" t="s">
        <v>443</v>
      </c>
    </row>
    <row r="53" spans="1:4" ht="18.75" customHeight="1" x14ac:dyDescent="0.25">
      <c r="A53" s="69" t="s">
        <v>444</v>
      </c>
      <c r="B53" s="68" t="s">
        <v>432</v>
      </c>
      <c r="C53" s="70">
        <v>266059</v>
      </c>
      <c r="D53" s="71" t="s">
        <v>445</v>
      </c>
    </row>
    <row r="54" spans="1:4" ht="18.75" customHeight="1" x14ac:dyDescent="0.25">
      <c r="A54" s="69" t="s">
        <v>446</v>
      </c>
      <c r="B54" s="68" t="s">
        <v>432</v>
      </c>
      <c r="C54" s="70">
        <v>256204</v>
      </c>
      <c r="D54" s="71" t="s">
        <v>447</v>
      </c>
    </row>
    <row r="55" spans="1:4" ht="18.75" customHeight="1" x14ac:dyDescent="0.25">
      <c r="A55" s="69" t="s">
        <v>448</v>
      </c>
      <c r="B55" s="68" t="s">
        <v>432</v>
      </c>
      <c r="C55" s="70">
        <v>256431</v>
      </c>
      <c r="D55" s="71" t="s">
        <v>449</v>
      </c>
    </row>
    <row r="56" spans="1:4" ht="18.75" customHeight="1" x14ac:dyDescent="0.25">
      <c r="A56" s="69" t="s">
        <v>450</v>
      </c>
      <c r="B56" s="68" t="s">
        <v>432</v>
      </c>
      <c r="C56" s="70">
        <v>261040</v>
      </c>
      <c r="D56" s="71" t="s">
        <v>451</v>
      </c>
    </row>
    <row r="57" spans="1:4" ht="18.75" customHeight="1" x14ac:dyDescent="0.25">
      <c r="A57" s="69" t="s">
        <v>452</v>
      </c>
      <c r="B57" s="68" t="s">
        <v>432</v>
      </c>
      <c r="C57" s="70">
        <v>337514</v>
      </c>
      <c r="D57" s="71" t="s">
        <v>453</v>
      </c>
    </row>
    <row r="58" spans="1:4" ht="18.75" customHeight="1" x14ac:dyDescent="0.25">
      <c r="A58" s="69" t="s">
        <v>454</v>
      </c>
      <c r="B58" s="68" t="s">
        <v>432</v>
      </c>
      <c r="C58" s="70">
        <v>337515</v>
      </c>
      <c r="D58" s="71" t="s">
        <v>455</v>
      </c>
    </row>
    <row r="59" spans="1:4" ht="18.75" customHeight="1" x14ac:dyDescent="0.25">
      <c r="A59" s="69" t="s">
        <v>456</v>
      </c>
      <c r="B59" s="68" t="s">
        <v>432</v>
      </c>
      <c r="C59" s="70">
        <v>257125</v>
      </c>
      <c r="D59" s="71" t="s">
        <v>457</v>
      </c>
    </row>
    <row r="60" spans="1:4" ht="18.75" customHeight="1" x14ac:dyDescent="0.25">
      <c r="A60" s="69" t="s">
        <v>458</v>
      </c>
      <c r="B60" s="68" t="s">
        <v>432</v>
      </c>
      <c r="C60" s="70">
        <v>337527</v>
      </c>
      <c r="D60" s="71" t="s">
        <v>459</v>
      </c>
    </row>
    <row r="61" spans="1:4" ht="18.75" customHeight="1" x14ac:dyDescent="0.25">
      <c r="A61" s="69" t="s">
        <v>460</v>
      </c>
      <c r="B61" s="68" t="s">
        <v>432</v>
      </c>
      <c r="C61" s="70">
        <v>267629</v>
      </c>
      <c r="D61" s="71" t="s">
        <v>461</v>
      </c>
    </row>
    <row r="62" spans="1:4" ht="18.75" customHeight="1" x14ac:dyDescent="0.25">
      <c r="A62" s="78" t="s">
        <v>462</v>
      </c>
      <c r="B62" s="68" t="s">
        <v>463</v>
      </c>
      <c r="C62" s="79" t="s">
        <v>464</v>
      </c>
      <c r="D62" s="80" t="s">
        <v>465</v>
      </c>
    </row>
    <row r="63" spans="1:4" ht="18.75" customHeight="1" x14ac:dyDescent="0.25">
      <c r="A63" s="81" t="s">
        <v>466</v>
      </c>
      <c r="B63" s="68" t="s">
        <v>463</v>
      </c>
      <c r="C63" s="79" t="s">
        <v>467</v>
      </c>
      <c r="D63" s="80" t="s">
        <v>468</v>
      </c>
    </row>
    <row r="64" spans="1:4" ht="18.75" customHeight="1" x14ac:dyDescent="0.25">
      <c r="A64" s="81" t="s">
        <v>469</v>
      </c>
      <c r="B64" s="68" t="s">
        <v>463</v>
      </c>
      <c r="C64" s="79" t="s">
        <v>470</v>
      </c>
      <c r="D64" s="80" t="s">
        <v>471</v>
      </c>
    </row>
    <row r="65" spans="1:4" ht="18.75" customHeight="1" x14ac:dyDescent="0.25">
      <c r="A65" s="81" t="s">
        <v>472</v>
      </c>
      <c r="B65" s="68" t="s">
        <v>463</v>
      </c>
      <c r="C65" s="79" t="s">
        <v>473</v>
      </c>
      <c r="D65" s="80" t="s">
        <v>474</v>
      </c>
    </row>
    <row r="66" spans="1:4" ht="18.75" customHeight="1" x14ac:dyDescent="0.25">
      <c r="A66" s="81" t="s">
        <v>475</v>
      </c>
      <c r="B66" s="68" t="s">
        <v>463</v>
      </c>
      <c r="C66" s="79" t="s">
        <v>476</v>
      </c>
      <c r="D66" s="80" t="s">
        <v>477</v>
      </c>
    </row>
    <row r="67" spans="1:4" ht="18.75" customHeight="1" x14ac:dyDescent="0.25">
      <c r="A67" s="81" t="s">
        <v>478</v>
      </c>
      <c r="B67" s="68" t="s">
        <v>463</v>
      </c>
      <c r="C67" s="79" t="s">
        <v>479</v>
      </c>
      <c r="D67" s="80" t="s">
        <v>480</v>
      </c>
    </row>
    <row r="68" spans="1:4" ht="18.75" customHeight="1" x14ac:dyDescent="0.25">
      <c r="A68" s="81" t="s">
        <v>481</v>
      </c>
      <c r="B68" s="82" t="s">
        <v>463</v>
      </c>
      <c r="C68" s="79" t="s">
        <v>482</v>
      </c>
      <c r="D68" s="80" t="s">
        <v>483</v>
      </c>
    </row>
    <row r="69" spans="1:4" ht="18.75" customHeight="1" x14ac:dyDescent="0.25">
      <c r="A69" s="81" t="s">
        <v>1135</v>
      </c>
      <c r="B69" s="68" t="s">
        <v>1136</v>
      </c>
      <c r="C69" s="79">
        <v>0</v>
      </c>
      <c r="D69" s="80"/>
    </row>
    <row r="70" spans="1:4" ht="18.75" customHeight="1" x14ac:dyDescent="0.25">
      <c r="A70" s="81" t="s">
        <v>1137</v>
      </c>
      <c r="B70" s="68" t="s">
        <v>1138</v>
      </c>
      <c r="C70" s="79"/>
      <c r="D70" s="80"/>
    </row>
    <row r="71" spans="1:4" ht="18.75" customHeight="1" x14ac:dyDescent="0.25">
      <c r="A71" s="81" t="s">
        <v>1140</v>
      </c>
      <c r="B71" s="68" t="s">
        <v>1139</v>
      </c>
      <c r="C71" s="79"/>
      <c r="D71" s="80"/>
    </row>
  </sheetData>
  <conditionalFormatting sqref="A2:D2 A68:D68">
    <cfRule type="expression" dxfId="16" priority="69">
      <formula>#REF!&lt;&gt;$B2</formula>
    </cfRule>
  </conditionalFormatting>
  <conditionalFormatting sqref="A3:D56 A58:D67">
    <cfRule type="expression" dxfId="15" priority="2">
      <formula>$B4&lt;&gt;$B3</formula>
    </cfRule>
  </conditionalFormatting>
  <conditionalFormatting sqref="A57:D57">
    <cfRule type="expression" dxfId="14" priority="62">
      <formula>#REF!&lt;&gt;$B57</formula>
    </cfRule>
  </conditionalFormatting>
  <conditionalFormatting sqref="C1:C71">
    <cfRule type="duplicateValues" dxfId="13" priority="72"/>
  </conditionalFormatting>
  <pageMargins left="0.51181102362204722" right="0.51181102362204722" top="0.78740157480314965" bottom="0.78740157480314965" header="0.31496062992125984" footer="0.31496062992125984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0E32-0959-471B-8B45-4A149ACE59CA}">
  <sheetPr codeName="Planilha6">
    <tabColor theme="1" tint="0.14999847407452621"/>
    <pageSetUpPr fitToPage="1"/>
  </sheetPr>
  <dimension ref="B1:S84"/>
  <sheetViews>
    <sheetView showGridLines="0" zoomScaleNormal="100" zoomScaleSheetLayoutView="70" workbookViewId="0">
      <selection activeCell="B3" sqref="B3:K4"/>
    </sheetView>
  </sheetViews>
  <sheetFormatPr defaultColWidth="15.42578125" defaultRowHeight="14.25" x14ac:dyDescent="0.25"/>
  <cols>
    <col min="1" max="1" width="1.42578125" style="169" customWidth="1"/>
    <col min="2" max="2" width="12.7109375" style="169" customWidth="1"/>
    <col min="3" max="3" width="17.85546875" style="170" customWidth="1"/>
    <col min="4" max="5" width="17.85546875" style="169" customWidth="1"/>
    <col min="6" max="6" width="17.85546875" style="170" customWidth="1"/>
    <col min="7" max="8" width="8.5703125" style="169" customWidth="1"/>
    <col min="9" max="9" width="16.28515625" style="169" customWidth="1"/>
    <col min="10" max="12" width="17.85546875" style="169" customWidth="1"/>
    <col min="13" max="13" width="17.85546875" style="170" customWidth="1"/>
    <col min="14" max="14" width="22.85546875" style="169" customWidth="1"/>
    <col min="15" max="16" width="8.5703125" style="169" customWidth="1"/>
    <col min="17" max="17" width="16.28515625" style="169" customWidth="1"/>
    <col min="18" max="18" width="17.85546875" style="169" customWidth="1"/>
    <col min="19" max="16384" width="15.42578125" style="169"/>
  </cols>
  <sheetData>
    <row r="1" spans="2:19" ht="7.5" customHeight="1" thickBot="1" x14ac:dyDescent="0.3">
      <c r="L1" s="90"/>
      <c r="M1" s="91"/>
      <c r="N1" s="90"/>
      <c r="O1" s="90"/>
      <c r="P1" s="90"/>
      <c r="Q1" s="90"/>
      <c r="R1" s="90"/>
      <c r="S1" s="90"/>
    </row>
    <row r="2" spans="2:19" ht="21" customHeight="1" thickTop="1" x14ac:dyDescent="0.2">
      <c r="B2" s="432" t="s">
        <v>247</v>
      </c>
      <c r="C2" s="432"/>
      <c r="D2" s="432"/>
      <c r="E2" s="432"/>
      <c r="F2" s="432"/>
      <c r="G2" s="432"/>
      <c r="H2" s="432"/>
      <c r="I2" s="432"/>
      <c r="J2" s="432"/>
      <c r="K2" s="432"/>
      <c r="L2" s="90"/>
      <c r="M2" s="4"/>
      <c r="N2" s="4"/>
      <c r="O2" s="90"/>
      <c r="P2" s="90"/>
      <c r="Q2" s="2"/>
      <c r="R2" s="90"/>
      <c r="S2" s="90"/>
    </row>
    <row r="3" spans="2:19" ht="21" customHeight="1" x14ac:dyDescent="0.2">
      <c r="B3" s="430" t="s">
        <v>484</v>
      </c>
      <c r="C3" s="430"/>
      <c r="D3" s="430"/>
      <c r="E3" s="430"/>
      <c r="F3" s="430"/>
      <c r="G3" s="430"/>
      <c r="H3" s="430"/>
      <c r="I3" s="430"/>
      <c r="J3" s="430"/>
      <c r="K3" s="430"/>
      <c r="L3" s="90"/>
      <c r="M3" s="4"/>
      <c r="N3" s="4"/>
      <c r="O3" s="90"/>
      <c r="P3" s="90"/>
      <c r="Q3" s="2"/>
      <c r="R3" s="90"/>
      <c r="S3" s="90"/>
    </row>
    <row r="4" spans="2:19" ht="21" customHeight="1" thickBot="1" x14ac:dyDescent="0.25"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90"/>
      <c r="M4" s="4"/>
      <c r="N4" s="4"/>
      <c r="O4" s="90"/>
      <c r="P4" s="90"/>
      <c r="Q4" s="2"/>
      <c r="R4" s="90"/>
      <c r="S4" s="90"/>
    </row>
    <row r="5" spans="2:19" ht="5.25" customHeight="1" thickTop="1" x14ac:dyDescent="0.2">
      <c r="B5" s="172"/>
      <c r="C5" s="172"/>
      <c r="D5" s="173"/>
      <c r="E5" s="173"/>
      <c r="F5" s="173"/>
      <c r="G5" s="173"/>
      <c r="H5" s="173"/>
      <c r="J5" s="174"/>
      <c r="K5" s="174"/>
      <c r="L5" s="4"/>
      <c r="M5" s="110"/>
      <c r="N5" s="91"/>
      <c r="O5" s="90"/>
      <c r="P5" s="90"/>
      <c r="Q5" s="2"/>
      <c r="R5" s="90"/>
      <c r="S5" s="90"/>
    </row>
    <row r="6" spans="2:19" x14ac:dyDescent="0.25">
      <c r="B6" s="434" t="s">
        <v>485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</row>
    <row r="7" spans="2:19" ht="5.25" customHeight="1" thickBot="1" x14ac:dyDescent="0.3">
      <c r="B7" s="172"/>
      <c r="C7" s="172"/>
      <c r="D7" s="173"/>
      <c r="E7" s="173"/>
      <c r="F7" s="173"/>
      <c r="G7" s="173"/>
      <c r="H7" s="173"/>
      <c r="I7" s="173"/>
      <c r="J7" s="171"/>
      <c r="K7" s="171"/>
      <c r="L7" s="171"/>
      <c r="M7" s="171"/>
      <c r="N7" s="171"/>
      <c r="O7" s="171"/>
      <c r="P7" s="171"/>
      <c r="Q7" s="171"/>
      <c r="R7" s="175"/>
    </row>
    <row r="8" spans="2:19" ht="29.25" customHeight="1" thickTop="1" thickBot="1" x14ac:dyDescent="0.3">
      <c r="B8" s="435" t="s">
        <v>251</v>
      </c>
      <c r="C8" s="435"/>
      <c r="D8" s="435"/>
      <c r="E8" s="435"/>
      <c r="F8" s="435"/>
      <c r="G8" s="433" t="s">
        <v>252</v>
      </c>
      <c r="H8" s="433"/>
      <c r="I8" s="433"/>
      <c r="J8" s="436" t="s">
        <v>253</v>
      </c>
      <c r="K8" s="437"/>
      <c r="L8" s="437"/>
      <c r="M8" s="437"/>
      <c r="N8" s="438"/>
      <c r="O8" s="433" t="s">
        <v>254</v>
      </c>
      <c r="P8" s="433"/>
      <c r="Q8" s="433"/>
      <c r="R8" s="433"/>
    </row>
    <row r="9" spans="2:19" s="179" customFormat="1" ht="53.25" thickTop="1" thickBot="1" x14ac:dyDescent="0.3">
      <c r="B9" s="176" t="s">
        <v>255</v>
      </c>
      <c r="C9" s="177" t="s">
        <v>256</v>
      </c>
      <c r="D9" s="177" t="s">
        <v>257</v>
      </c>
      <c r="E9" s="177" t="s">
        <v>258</v>
      </c>
      <c r="F9" s="178" t="s">
        <v>259</v>
      </c>
      <c r="G9" s="176" t="s">
        <v>260</v>
      </c>
      <c r="H9" s="177" t="s">
        <v>261</v>
      </c>
      <c r="I9" s="178" t="s">
        <v>262</v>
      </c>
      <c r="J9" s="176" t="s">
        <v>263</v>
      </c>
      <c r="K9" s="177" t="s">
        <v>264</v>
      </c>
      <c r="L9" s="177" t="s">
        <v>265</v>
      </c>
      <c r="M9" s="177" t="s">
        <v>266</v>
      </c>
      <c r="N9" s="178" t="s">
        <v>105</v>
      </c>
      <c r="O9" s="176" t="s">
        <v>267</v>
      </c>
      <c r="P9" s="177" t="s">
        <v>268</v>
      </c>
      <c r="Q9" s="177" t="s">
        <v>269</v>
      </c>
      <c r="R9" s="178" t="s">
        <v>270</v>
      </c>
    </row>
    <row r="10" spans="2:19" s="179" customFormat="1" ht="77.25" thickTop="1" x14ac:dyDescent="0.25">
      <c r="B10" s="95" t="s">
        <v>486</v>
      </c>
      <c r="C10" s="95" t="s">
        <v>272</v>
      </c>
      <c r="D10" s="95" t="s">
        <v>487</v>
      </c>
      <c r="E10" s="95" t="s">
        <v>488</v>
      </c>
      <c r="F10" s="96" t="s">
        <v>489</v>
      </c>
      <c r="G10" s="97">
        <v>5</v>
      </c>
      <c r="H10" s="95">
        <v>4</v>
      </c>
      <c r="I10" s="185" t="str">
        <f>IFERROR(INDEX(Tabelas!$E$5:$I$9, MATCH(Tabela13[[#This Row],[PROBA-BILIDA-DE]], Tabelas!$D$5:$D$9, 0), MATCH(Tabela13[[#This Row],[SEVERI-DADE]], Tabelas!$E$4:$I$4, 0)),"")</f>
        <v>⁴Muito Alto 
(20)</v>
      </c>
      <c r="J10" s="97" t="s">
        <v>490</v>
      </c>
      <c r="K10" s="95" t="s">
        <v>491</v>
      </c>
      <c r="L10" s="143" t="s">
        <v>492</v>
      </c>
      <c r="M10" s="143" t="s">
        <v>493</v>
      </c>
      <c r="N10" s="144" t="s">
        <v>494</v>
      </c>
      <c r="O10" s="97">
        <v>5</v>
      </c>
      <c r="P10" s="95">
        <v>2</v>
      </c>
      <c r="Q10" s="184" t="str">
        <f>IFERROR(INDEX(Tabelas!$E$5:$I$9, MATCH(Tabela13[[#This Row],[PROBA-BILIDA-DE ]], Tabelas!$D$5:$D$9, 0), MATCH(Tabela13[[#This Row],[SEVERI-DADE ]], Tabelas!$E$4:$I$4, 0)),"")</f>
        <v>³Alto 
(10)</v>
      </c>
      <c r="R10" s="96" t="s">
        <v>495</v>
      </c>
    </row>
    <row r="11" spans="2:19" s="179" customFormat="1" ht="128.25" thickTop="1" x14ac:dyDescent="0.25">
      <c r="B11" s="95" t="s">
        <v>271</v>
      </c>
      <c r="C11" s="95" t="s">
        <v>273</v>
      </c>
      <c r="D11" s="95" t="s">
        <v>496</v>
      </c>
      <c r="E11" s="95" t="s">
        <v>497</v>
      </c>
      <c r="F11" s="96" t="s">
        <v>498</v>
      </c>
      <c r="G11" s="97">
        <v>4</v>
      </c>
      <c r="H11" s="95">
        <v>4</v>
      </c>
      <c r="I11" s="185" t="str">
        <f>IFERROR(INDEX(Tabelas!$E$5:$I$9, MATCH(Tabela13[[#This Row],[PROBA-BILIDA-DE]], Tabelas!$D$5:$D$9, 0), MATCH(Tabela13[[#This Row],[SEVERI-DADE]], Tabelas!$E$4:$I$4, 0)),"")</f>
        <v>⁴Muito Alto 
(19)</v>
      </c>
      <c r="J11" s="97" t="s">
        <v>499</v>
      </c>
      <c r="K11" s="95" t="s">
        <v>500</v>
      </c>
      <c r="L11" s="143" t="s">
        <v>501</v>
      </c>
      <c r="M11" s="143" t="s">
        <v>502</v>
      </c>
      <c r="N11" s="144" t="s">
        <v>503</v>
      </c>
      <c r="O11" s="97">
        <v>4</v>
      </c>
      <c r="P11" s="95">
        <v>2</v>
      </c>
      <c r="Q11" s="184" t="str">
        <f>IFERROR(INDEX(Tabelas!$E$5:$I$9, MATCH(Tabela13[[#This Row],[PROBA-BILIDA-DE ]], Tabelas!$D$5:$D$9, 0), MATCH(Tabela13[[#This Row],[SEVERI-DADE ]], Tabelas!$E$4:$I$4, 0)),"")</f>
        <v>³Alto 
(9)</v>
      </c>
      <c r="R11" s="144" t="s">
        <v>504</v>
      </c>
    </row>
    <row r="12" spans="2:19" s="179" customFormat="1" ht="77.25" thickTop="1" x14ac:dyDescent="0.25">
      <c r="B12" s="95" t="s">
        <v>486</v>
      </c>
      <c r="C12" s="95" t="s">
        <v>274</v>
      </c>
      <c r="D12" s="95" t="s">
        <v>487</v>
      </c>
      <c r="E12" s="95" t="s">
        <v>505</v>
      </c>
      <c r="F12" s="96" t="s">
        <v>489</v>
      </c>
      <c r="G12" s="97">
        <v>5</v>
      </c>
      <c r="H12" s="95">
        <v>3</v>
      </c>
      <c r="I12" s="185" t="str">
        <f>IFERROR(INDEX(Tabelas!$E$5:$I$9, MATCH(Tabela13[[#This Row],[PROBA-BILIDA-DE]], Tabelas!$D$5:$D$9, 0), MATCH(Tabela13[[#This Row],[SEVERI-DADE]], Tabelas!$E$4:$I$4, 0)),"")</f>
        <v>⁴Muito Alto 
(15)</v>
      </c>
      <c r="J12" s="97" t="s">
        <v>506</v>
      </c>
      <c r="K12" s="95" t="s">
        <v>507</v>
      </c>
      <c r="L12" s="95" t="s">
        <v>508</v>
      </c>
      <c r="M12" s="143" t="s">
        <v>509</v>
      </c>
      <c r="N12" s="144" t="s">
        <v>494</v>
      </c>
      <c r="O12" s="97">
        <v>5</v>
      </c>
      <c r="P12" s="95">
        <v>1</v>
      </c>
      <c r="Q12" s="184" t="str">
        <f>IFERROR(INDEX(Tabelas!$E$5:$I$9, MATCH(Tabela13[[#This Row],[PROBA-BILIDA-DE ]], Tabelas!$D$5:$D$9, 0), MATCH(Tabela13[[#This Row],[SEVERI-DADE ]], Tabelas!$E$4:$I$4, 0)),"")</f>
        <v>³Alto 
(5)</v>
      </c>
      <c r="R12" s="96" t="s">
        <v>510</v>
      </c>
    </row>
    <row r="13" spans="2:19" s="179" customFormat="1" ht="39" thickTop="1" x14ac:dyDescent="0.25">
      <c r="B13" s="97" t="s">
        <v>511</v>
      </c>
      <c r="C13" s="95" t="s">
        <v>512</v>
      </c>
      <c r="D13" s="95" t="s">
        <v>513</v>
      </c>
      <c r="E13" s="95" t="s">
        <v>514</v>
      </c>
      <c r="F13" s="96" t="s">
        <v>515</v>
      </c>
      <c r="G13" s="97">
        <v>3</v>
      </c>
      <c r="H13" s="95">
        <v>4</v>
      </c>
      <c r="I13" s="185" t="str">
        <f>IFERROR(INDEX(Tabelas!$E$5:$I$9, MATCH(Tabela13[[#This Row],[PROBA-BILIDA-DE]], Tabelas!$D$5:$D$9, 0), MATCH(Tabela13[[#This Row],[SEVERI-DADE]], Tabelas!$E$4:$I$4, 0)),"")</f>
        <v>³Alto 
(18)</v>
      </c>
      <c r="J13" s="97" t="s">
        <v>516</v>
      </c>
      <c r="K13" s="95" t="s">
        <v>507</v>
      </c>
      <c r="L13" s="95" t="s">
        <v>517</v>
      </c>
      <c r="M13" s="143" t="s">
        <v>518</v>
      </c>
      <c r="N13" s="144" t="s">
        <v>519</v>
      </c>
      <c r="O13" s="97">
        <v>3</v>
      </c>
      <c r="P13" s="95">
        <v>2</v>
      </c>
      <c r="Q13" s="184" t="str">
        <f>IFERROR(INDEX(Tabelas!$E$5:$I$9, MATCH(Tabela13[[#This Row],[PROBA-BILIDA-DE ]], Tabelas!$D$5:$D$9, 0), MATCH(Tabela13[[#This Row],[SEVERI-DADE ]], Tabelas!$E$4:$I$4, 0)),"")</f>
        <v>²Médio 
(8)</v>
      </c>
      <c r="R13" s="96" t="s">
        <v>520</v>
      </c>
    </row>
    <row r="14" spans="2:19" s="179" customFormat="1" ht="39" thickTop="1" x14ac:dyDescent="0.25">
      <c r="B14" s="97" t="s">
        <v>275</v>
      </c>
      <c r="C14" s="95" t="s">
        <v>276</v>
      </c>
      <c r="D14" s="95" t="s">
        <v>521</v>
      </c>
      <c r="E14" s="95" t="s">
        <v>522</v>
      </c>
      <c r="F14" s="96" t="s">
        <v>523</v>
      </c>
      <c r="G14" s="97">
        <v>4</v>
      </c>
      <c r="H14" s="95">
        <v>3</v>
      </c>
      <c r="I14" s="185" t="str">
        <f>IFERROR(INDEX(Tabelas!$E$5:$I$9, MATCH(Tabela13[[#This Row],[PROBA-BILIDA-DE]], Tabelas!$D$5:$D$9, 0), MATCH(Tabela13[[#This Row],[SEVERI-DADE]], Tabelas!$E$4:$I$4, 0)),"")</f>
        <v>³Alto 
(14)</v>
      </c>
      <c r="J14" s="97" t="s">
        <v>524</v>
      </c>
      <c r="K14" s="95" t="s">
        <v>507</v>
      </c>
      <c r="L14" s="95" t="s">
        <v>525</v>
      </c>
      <c r="M14" s="95" t="s">
        <v>526</v>
      </c>
      <c r="N14" s="144" t="s">
        <v>527</v>
      </c>
      <c r="O14" s="97">
        <v>3</v>
      </c>
      <c r="P14" s="95">
        <v>1</v>
      </c>
      <c r="Q14" s="184" t="str">
        <f>IFERROR(INDEX(Tabelas!$E$5:$I$9, MATCH(Tabela13[[#This Row],[PROBA-BILIDA-DE ]], Tabelas!$D$5:$D$9, 0), MATCH(Tabela13[[#This Row],[SEVERI-DADE ]], Tabelas!$E$4:$I$4, 0)),"")</f>
        <v>²Médio 
(3)</v>
      </c>
      <c r="R14" s="96" t="s">
        <v>528</v>
      </c>
    </row>
    <row r="15" spans="2:19" s="179" customFormat="1" ht="64.5" thickTop="1" x14ac:dyDescent="0.25">
      <c r="B15" s="97" t="s">
        <v>529</v>
      </c>
      <c r="C15" s="95" t="s">
        <v>530</v>
      </c>
      <c r="D15" s="95" t="s">
        <v>487</v>
      </c>
      <c r="E15" s="95" t="s">
        <v>505</v>
      </c>
      <c r="F15" s="96" t="s">
        <v>489</v>
      </c>
      <c r="G15" s="97">
        <v>4</v>
      </c>
      <c r="H15" s="95">
        <v>3</v>
      </c>
      <c r="I15" s="185" t="str">
        <f>IFERROR(INDEX(Tabelas!$E$5:$I$9, MATCH(Tabela13[[#This Row],[PROBA-BILIDA-DE]], Tabelas!$D$5:$D$9, 0), MATCH(Tabela13[[#This Row],[SEVERI-DADE]], Tabelas!$E$4:$I$4, 0)),"")</f>
        <v>³Alto 
(14)</v>
      </c>
      <c r="J15" s="97" t="s">
        <v>531</v>
      </c>
      <c r="K15" s="95" t="s">
        <v>507</v>
      </c>
      <c r="L15" s="95" t="s">
        <v>532</v>
      </c>
      <c r="M15" s="95" t="s">
        <v>533</v>
      </c>
      <c r="N15" s="144" t="s">
        <v>534</v>
      </c>
      <c r="O15" s="97">
        <v>3</v>
      </c>
      <c r="P15" s="95">
        <v>1</v>
      </c>
      <c r="Q15" s="184" t="str">
        <f>IFERROR(INDEX(Tabelas!$E$5:$I$9, MATCH(Tabela13[[#This Row],[PROBA-BILIDA-DE ]], Tabelas!$D$5:$D$9, 0), MATCH(Tabela13[[#This Row],[SEVERI-DADE ]], Tabelas!$E$4:$I$4, 0)),"")</f>
        <v>²Médio 
(3)</v>
      </c>
      <c r="R15" s="96" t="s">
        <v>535</v>
      </c>
    </row>
    <row r="16" spans="2:19" s="179" customFormat="1" ht="77.25" thickTop="1" x14ac:dyDescent="0.25">
      <c r="B16" s="97" t="s">
        <v>536</v>
      </c>
      <c r="C16" s="95" t="s">
        <v>537</v>
      </c>
      <c r="D16" s="95" t="s">
        <v>487</v>
      </c>
      <c r="E16" s="95" t="s">
        <v>538</v>
      </c>
      <c r="F16" s="96" t="s">
        <v>539</v>
      </c>
      <c r="G16" s="97">
        <v>4</v>
      </c>
      <c r="H16" s="95">
        <v>3</v>
      </c>
      <c r="I16" s="185" t="str">
        <f>IFERROR(INDEX(Tabelas!$E$5:$I$9, MATCH(Tabela13[[#This Row],[PROBA-BILIDA-DE]], Tabelas!$D$5:$D$9, 0), MATCH(Tabela13[[#This Row],[SEVERI-DADE]], Tabelas!$E$4:$I$4, 0)),"")</f>
        <v>³Alto 
(14)</v>
      </c>
      <c r="J16" s="97" t="s">
        <v>540</v>
      </c>
      <c r="K16" s="95" t="s">
        <v>507</v>
      </c>
      <c r="L16" s="95" t="s">
        <v>541</v>
      </c>
      <c r="M16" s="95" t="s">
        <v>542</v>
      </c>
      <c r="N16" s="144" t="s">
        <v>494</v>
      </c>
      <c r="O16" s="97">
        <v>3</v>
      </c>
      <c r="P16" s="95">
        <v>1</v>
      </c>
      <c r="Q16" s="184" t="str">
        <f>IFERROR(INDEX(Tabelas!$E$5:$I$9, MATCH(Tabela13[[#This Row],[PROBA-BILIDA-DE ]], Tabelas!$D$5:$D$9, 0), MATCH(Tabela13[[#This Row],[SEVERI-DADE ]], Tabelas!$E$4:$I$4, 0)),"")</f>
        <v>²Médio 
(3)</v>
      </c>
      <c r="R16" s="96" t="s">
        <v>543</v>
      </c>
    </row>
    <row r="17" spans="2:18" s="179" customFormat="1" ht="51.75" thickTop="1" x14ac:dyDescent="0.25">
      <c r="B17" s="97" t="s">
        <v>511</v>
      </c>
      <c r="C17" s="95" t="s">
        <v>544</v>
      </c>
      <c r="D17" s="95" t="s">
        <v>545</v>
      </c>
      <c r="E17" s="95" t="s">
        <v>546</v>
      </c>
      <c r="F17" s="96" t="s">
        <v>547</v>
      </c>
      <c r="G17" s="97">
        <v>4</v>
      </c>
      <c r="H17" s="95">
        <v>3</v>
      </c>
      <c r="I17" s="185" t="str">
        <f>IFERROR(INDEX(Tabelas!$E$5:$I$9, MATCH(Tabela13[[#This Row],[PROBA-BILIDA-DE]], Tabelas!$D$5:$D$9, 0), MATCH(Tabela13[[#This Row],[SEVERI-DADE]], Tabelas!$E$4:$I$4, 0)),"")</f>
        <v>³Alto 
(14)</v>
      </c>
      <c r="J17" s="97" t="s">
        <v>548</v>
      </c>
      <c r="K17" s="95" t="s">
        <v>507</v>
      </c>
      <c r="L17" s="143" t="s">
        <v>549</v>
      </c>
      <c r="M17" s="143" t="s">
        <v>550</v>
      </c>
      <c r="N17" s="144" t="s">
        <v>551</v>
      </c>
      <c r="O17" s="97">
        <v>3</v>
      </c>
      <c r="P17" s="95">
        <v>2</v>
      </c>
      <c r="Q17" s="184" t="str">
        <f>IFERROR(INDEX(Tabelas!$E$5:$I$9, MATCH(Tabela13[[#This Row],[PROBA-BILIDA-DE ]], Tabelas!$D$5:$D$9, 0), MATCH(Tabela13[[#This Row],[SEVERI-DADE ]], Tabelas!$E$4:$I$4, 0)),"")</f>
        <v>²Médio 
(8)</v>
      </c>
      <c r="R17" s="96" t="s">
        <v>552</v>
      </c>
    </row>
    <row r="18" spans="2:18" s="179" customFormat="1" ht="39" thickTop="1" x14ac:dyDescent="0.25">
      <c r="B18" s="97" t="s">
        <v>529</v>
      </c>
      <c r="C18" s="95" t="s">
        <v>553</v>
      </c>
      <c r="D18" s="95" t="s">
        <v>545</v>
      </c>
      <c r="E18" s="95" t="s">
        <v>554</v>
      </c>
      <c r="F18" s="96" t="s">
        <v>555</v>
      </c>
      <c r="G18" s="97">
        <v>4</v>
      </c>
      <c r="H18" s="95">
        <v>3</v>
      </c>
      <c r="I18" s="185" t="str">
        <f>IFERROR(INDEX(Tabelas!$E$5:$I$9, MATCH(Tabela13[[#This Row],[PROBA-BILIDA-DE]], Tabelas!$D$5:$D$9, 0), MATCH(Tabela13[[#This Row],[SEVERI-DADE]], Tabelas!$E$4:$I$4, 0)),"")</f>
        <v>³Alto 
(14)</v>
      </c>
      <c r="J18" s="97" t="s">
        <v>556</v>
      </c>
      <c r="K18" s="95" t="s">
        <v>507</v>
      </c>
      <c r="L18" s="95" t="s">
        <v>557</v>
      </c>
      <c r="M18" s="95" t="s">
        <v>558</v>
      </c>
      <c r="N18" s="144" t="s">
        <v>551</v>
      </c>
      <c r="O18" s="97">
        <v>3</v>
      </c>
      <c r="P18" s="95">
        <v>1</v>
      </c>
      <c r="Q18" s="184" t="str">
        <f>IFERROR(INDEX(Tabelas!$E$5:$I$9, MATCH(Tabela13[[#This Row],[PROBA-BILIDA-DE ]], Tabelas!$D$5:$D$9, 0), MATCH(Tabela13[[#This Row],[SEVERI-DADE ]], Tabelas!$E$4:$I$4, 0)),"")</f>
        <v>²Médio 
(3)</v>
      </c>
      <c r="R18" s="96" t="s">
        <v>559</v>
      </c>
    </row>
    <row r="19" spans="2:18" s="179" customFormat="1" ht="39" thickTop="1" x14ac:dyDescent="0.25">
      <c r="B19" s="97" t="s">
        <v>560</v>
      </c>
      <c r="C19" s="95" t="s">
        <v>561</v>
      </c>
      <c r="D19" s="95" t="s">
        <v>562</v>
      </c>
      <c r="E19" s="95" t="s">
        <v>563</v>
      </c>
      <c r="F19" s="96" t="s">
        <v>564</v>
      </c>
      <c r="G19" s="97">
        <v>3</v>
      </c>
      <c r="H19" s="95">
        <v>3</v>
      </c>
      <c r="I19" s="185" t="str">
        <f>IFERROR(INDEX(Tabelas!$E$5:$I$9, MATCH(Tabela13[[#This Row],[PROBA-BILIDA-DE]], Tabelas!$D$5:$D$9, 0), MATCH(Tabela13[[#This Row],[SEVERI-DADE]], Tabelas!$E$4:$I$4, 0)),"")</f>
        <v>³Alto 
(13)</v>
      </c>
      <c r="J19" s="97" t="s">
        <v>565</v>
      </c>
      <c r="K19" s="95" t="s">
        <v>566</v>
      </c>
      <c r="L19" s="95" t="s">
        <v>567</v>
      </c>
      <c r="M19" s="95" t="s">
        <v>568</v>
      </c>
      <c r="N19" s="144" t="s">
        <v>569</v>
      </c>
      <c r="O19" s="97">
        <v>2</v>
      </c>
      <c r="P19" s="95">
        <v>1</v>
      </c>
      <c r="Q19" s="184" t="str">
        <f>IFERROR(INDEX(Tabelas!$E$5:$I$9, MATCH(Tabela13[[#This Row],[PROBA-BILIDA-DE ]], Tabelas!$D$5:$D$9, 0), MATCH(Tabela13[[#This Row],[SEVERI-DADE ]], Tabelas!$E$4:$I$4, 0)),"")</f>
        <v>¹Baixo 
(2)</v>
      </c>
      <c r="R19" s="96" t="s">
        <v>570</v>
      </c>
    </row>
    <row r="20" spans="2:18" s="179" customFormat="1" ht="39" thickTop="1" x14ac:dyDescent="0.25">
      <c r="B20" s="97" t="s">
        <v>511</v>
      </c>
      <c r="C20" s="95" t="s">
        <v>571</v>
      </c>
      <c r="D20" s="95" t="s">
        <v>572</v>
      </c>
      <c r="E20" s="95" t="s">
        <v>573</v>
      </c>
      <c r="F20" s="96" t="s">
        <v>574</v>
      </c>
      <c r="G20" s="97">
        <v>3</v>
      </c>
      <c r="H20" s="95">
        <v>3</v>
      </c>
      <c r="I20" s="185" t="str">
        <f>IFERROR(INDEX(Tabelas!$E$5:$I$9, MATCH(Tabela13[[#This Row],[PROBA-BILIDA-DE]], Tabelas!$D$5:$D$9, 0), MATCH(Tabela13[[#This Row],[SEVERI-DADE]], Tabelas!$E$4:$I$4, 0)),"")</f>
        <v>³Alto 
(13)</v>
      </c>
      <c r="J20" s="97" t="s">
        <v>507</v>
      </c>
      <c r="K20" s="95" t="s">
        <v>507</v>
      </c>
      <c r="L20" s="95" t="s">
        <v>575</v>
      </c>
      <c r="M20" s="143" t="s">
        <v>576</v>
      </c>
      <c r="N20" s="144" t="s">
        <v>577</v>
      </c>
      <c r="O20" s="97">
        <v>2</v>
      </c>
      <c r="P20" s="95">
        <v>2</v>
      </c>
      <c r="Q20" s="184" t="str">
        <f>IFERROR(INDEX(Tabelas!$E$5:$I$9, MATCH(Tabela13[[#This Row],[PROBA-BILIDA-DE ]], Tabelas!$D$5:$D$9, 0), MATCH(Tabela13[[#This Row],[SEVERI-DADE ]], Tabelas!$E$4:$I$4, 0)),"")</f>
        <v>¹Baixo 
(7)</v>
      </c>
      <c r="R20" s="96" t="s">
        <v>578</v>
      </c>
    </row>
    <row r="21" spans="2:18" s="179" customFormat="1" ht="39" thickTop="1" x14ac:dyDescent="0.25">
      <c r="B21" s="97" t="s">
        <v>275</v>
      </c>
      <c r="C21" s="95" t="s">
        <v>579</v>
      </c>
      <c r="D21" s="95" t="s">
        <v>580</v>
      </c>
      <c r="E21" s="95" t="s">
        <v>581</v>
      </c>
      <c r="F21" s="96" t="s">
        <v>582</v>
      </c>
      <c r="G21" s="97">
        <v>3</v>
      </c>
      <c r="H21" s="95">
        <v>3</v>
      </c>
      <c r="I21" s="185" t="str">
        <f>IFERROR(INDEX(Tabelas!$E$5:$I$9, MATCH(Tabela13[[#This Row],[PROBA-BILIDA-DE]], Tabelas!$D$5:$D$9, 0), MATCH(Tabela13[[#This Row],[SEVERI-DADE]], Tabelas!$E$4:$I$4, 0)),"")</f>
        <v>³Alto 
(13)</v>
      </c>
      <c r="J21" s="97" t="s">
        <v>506</v>
      </c>
      <c r="K21" s="95" t="s">
        <v>583</v>
      </c>
      <c r="L21" s="95" t="s">
        <v>584</v>
      </c>
      <c r="M21" s="95" t="s">
        <v>585</v>
      </c>
      <c r="N21" s="144" t="s">
        <v>569</v>
      </c>
      <c r="O21" s="97">
        <v>2</v>
      </c>
      <c r="P21" s="95">
        <v>1</v>
      </c>
      <c r="Q21" s="184" t="str">
        <f>IFERROR(INDEX(Tabelas!$E$5:$I$9, MATCH(Tabela13[[#This Row],[PROBA-BILIDA-DE ]], Tabelas!$D$5:$D$9, 0), MATCH(Tabela13[[#This Row],[SEVERI-DADE ]], Tabelas!$E$4:$I$4, 0)),"")</f>
        <v>¹Baixo 
(2)</v>
      </c>
      <c r="R21" s="96" t="s">
        <v>586</v>
      </c>
    </row>
    <row r="22" spans="2:18" s="179" customFormat="1" ht="51.75" thickTop="1" x14ac:dyDescent="0.25">
      <c r="B22" s="97" t="s">
        <v>536</v>
      </c>
      <c r="C22" s="95" t="s">
        <v>587</v>
      </c>
      <c r="D22" s="95" t="s">
        <v>588</v>
      </c>
      <c r="E22" s="95" t="s">
        <v>589</v>
      </c>
      <c r="F22" s="96" t="s">
        <v>590</v>
      </c>
      <c r="G22" s="97">
        <v>3</v>
      </c>
      <c r="H22" s="95">
        <v>3</v>
      </c>
      <c r="I22" s="185" t="str">
        <f>IFERROR(INDEX(Tabelas!$E$5:$I$9, MATCH(Tabela13[[#This Row],[PROBA-BILIDA-DE]], Tabelas!$D$5:$D$9, 0), MATCH(Tabela13[[#This Row],[SEVERI-DADE]], Tabelas!$E$4:$I$4, 0)),"")</f>
        <v>³Alto 
(13)</v>
      </c>
      <c r="J22" s="97" t="s">
        <v>591</v>
      </c>
      <c r="K22" s="95" t="s">
        <v>507</v>
      </c>
      <c r="L22" s="95" t="s">
        <v>592</v>
      </c>
      <c r="M22" s="95" t="s">
        <v>585</v>
      </c>
      <c r="N22" s="144" t="s">
        <v>593</v>
      </c>
      <c r="O22" s="97">
        <v>2</v>
      </c>
      <c r="P22" s="95">
        <v>1</v>
      </c>
      <c r="Q22" s="184" t="str">
        <f>IFERROR(INDEX(Tabelas!$E$5:$I$9, MATCH(Tabela13[[#This Row],[PROBA-BILIDA-DE ]], Tabelas!$D$5:$D$9, 0), MATCH(Tabela13[[#This Row],[SEVERI-DADE ]], Tabelas!$E$4:$I$4, 0)),"")</f>
        <v>¹Baixo 
(2)</v>
      </c>
      <c r="R22" s="96" t="s">
        <v>594</v>
      </c>
    </row>
    <row r="23" spans="2:18" s="179" customFormat="1" ht="39" thickTop="1" x14ac:dyDescent="0.25">
      <c r="B23" s="97" t="s">
        <v>275</v>
      </c>
      <c r="C23" s="95" t="s">
        <v>544</v>
      </c>
      <c r="D23" s="95" t="s">
        <v>545</v>
      </c>
      <c r="E23" s="95" t="s">
        <v>595</v>
      </c>
      <c r="F23" s="96" t="s">
        <v>547</v>
      </c>
      <c r="G23" s="97">
        <v>3</v>
      </c>
      <c r="H23" s="95">
        <v>3</v>
      </c>
      <c r="I23" s="185" t="str">
        <f>IFERROR(INDEX(Tabelas!$E$5:$I$9, MATCH(Tabela13[[#This Row],[PROBA-BILIDA-DE]], Tabelas!$D$5:$D$9, 0), MATCH(Tabela13[[#This Row],[SEVERI-DADE]], Tabelas!$E$4:$I$4, 0)),"")</f>
        <v>³Alto 
(13)</v>
      </c>
      <c r="J23" s="97" t="s">
        <v>548</v>
      </c>
      <c r="K23" s="95" t="s">
        <v>596</v>
      </c>
      <c r="L23" s="95" t="s">
        <v>597</v>
      </c>
      <c r="M23" s="95" t="s">
        <v>598</v>
      </c>
      <c r="N23" s="144" t="s">
        <v>551</v>
      </c>
      <c r="O23" s="97">
        <v>2</v>
      </c>
      <c r="P23" s="95">
        <v>2</v>
      </c>
      <c r="Q23" s="184" t="str">
        <f>IFERROR(INDEX(Tabelas!$E$5:$I$9, MATCH(Tabela13[[#This Row],[PROBA-BILIDA-DE ]], Tabelas!$D$5:$D$9, 0), MATCH(Tabela13[[#This Row],[SEVERI-DADE ]], Tabelas!$E$4:$I$4, 0)),"")</f>
        <v>¹Baixo 
(7)</v>
      </c>
      <c r="R23" s="96" t="s">
        <v>599</v>
      </c>
    </row>
    <row r="24" spans="2:18" s="179" customFormat="1" ht="64.5" thickTop="1" x14ac:dyDescent="0.25">
      <c r="B24" s="97" t="s">
        <v>275</v>
      </c>
      <c r="C24" s="95" t="s">
        <v>600</v>
      </c>
      <c r="D24" s="95" t="s">
        <v>487</v>
      </c>
      <c r="E24" s="95" t="s">
        <v>601</v>
      </c>
      <c r="F24" s="96" t="s">
        <v>489</v>
      </c>
      <c r="G24" s="97">
        <v>3</v>
      </c>
      <c r="H24" s="95">
        <v>3</v>
      </c>
      <c r="I24" s="185" t="str">
        <f>IFERROR(INDEX(Tabelas!$E$5:$I$9, MATCH(Tabela13[[#This Row],[PROBA-BILIDA-DE]], Tabelas!$D$5:$D$9, 0), MATCH(Tabela13[[#This Row],[SEVERI-DADE]], Tabelas!$E$4:$I$4, 0)),"")</f>
        <v>³Alto 
(13)</v>
      </c>
      <c r="J24" s="97" t="s">
        <v>602</v>
      </c>
      <c r="K24" s="95" t="s">
        <v>507</v>
      </c>
      <c r="L24" s="95" t="s">
        <v>603</v>
      </c>
      <c r="M24" s="95" t="s">
        <v>604</v>
      </c>
      <c r="N24" s="144" t="s">
        <v>605</v>
      </c>
      <c r="O24" s="97">
        <v>2</v>
      </c>
      <c r="P24" s="95">
        <v>1</v>
      </c>
      <c r="Q24" s="184" t="str">
        <f>IFERROR(INDEX(Tabelas!$E$5:$I$9, MATCH(Tabela13[[#This Row],[PROBA-BILIDA-DE ]], Tabelas!$D$5:$D$9, 0), MATCH(Tabela13[[#This Row],[SEVERI-DADE ]], Tabelas!$E$4:$I$4, 0)),"")</f>
        <v>¹Baixo 
(2)</v>
      </c>
      <c r="R24" s="96" t="s">
        <v>606</v>
      </c>
    </row>
    <row r="25" spans="2:18" s="179" customFormat="1" ht="39" thickTop="1" x14ac:dyDescent="0.25">
      <c r="B25" s="97" t="s">
        <v>275</v>
      </c>
      <c r="C25" s="95" t="s">
        <v>607</v>
      </c>
      <c r="D25" s="95" t="s">
        <v>608</v>
      </c>
      <c r="E25" s="95" t="s">
        <v>505</v>
      </c>
      <c r="F25" s="96" t="s">
        <v>609</v>
      </c>
      <c r="G25" s="97">
        <v>5</v>
      </c>
      <c r="H25" s="95">
        <v>2</v>
      </c>
      <c r="I25" s="185" t="str">
        <f>IFERROR(INDEX(Tabelas!$E$5:$I$9, MATCH(Tabela13[[#This Row],[PROBA-BILIDA-DE]], Tabelas!$D$5:$D$9, 0), MATCH(Tabela13[[#This Row],[SEVERI-DADE]], Tabelas!$E$4:$I$4, 0)),"")</f>
        <v>³Alto 
(10)</v>
      </c>
      <c r="J25" s="97" t="s">
        <v>610</v>
      </c>
      <c r="K25" s="95" t="s">
        <v>507</v>
      </c>
      <c r="L25" s="95" t="s">
        <v>611</v>
      </c>
      <c r="M25" s="95" t="s">
        <v>612</v>
      </c>
      <c r="N25" s="144" t="s">
        <v>527</v>
      </c>
      <c r="O25" s="97">
        <v>2</v>
      </c>
      <c r="P25" s="95">
        <v>1</v>
      </c>
      <c r="Q25" s="184" t="str">
        <f>IFERROR(INDEX(Tabelas!$E$5:$I$9, MATCH(Tabela13[[#This Row],[PROBA-BILIDA-DE ]], Tabelas!$D$5:$D$9, 0), MATCH(Tabela13[[#This Row],[SEVERI-DADE ]], Tabelas!$E$4:$I$4, 0)),"")</f>
        <v>¹Baixo 
(2)</v>
      </c>
      <c r="R25" s="96" t="s">
        <v>613</v>
      </c>
    </row>
    <row r="26" spans="2:18" s="179" customFormat="1" ht="38.25" x14ac:dyDescent="0.25">
      <c r="B26" s="97" t="s">
        <v>529</v>
      </c>
      <c r="C26" s="95" t="s">
        <v>614</v>
      </c>
      <c r="D26" s="95" t="s">
        <v>615</v>
      </c>
      <c r="E26" s="95" t="s">
        <v>616</v>
      </c>
      <c r="F26" s="96" t="s">
        <v>617</v>
      </c>
      <c r="G26" s="97">
        <v>3</v>
      </c>
      <c r="H26" s="95">
        <v>2</v>
      </c>
      <c r="I26" s="185" t="str">
        <f>IFERROR(INDEX(Tabelas!$E$5:$I$9, MATCH(Tabela13[[#This Row],[PROBA-BILIDA-DE]], Tabelas!$D$5:$D$9, 0), MATCH(Tabela13[[#This Row],[SEVERI-DADE]], Tabelas!$E$4:$I$4, 0)),"")</f>
        <v>²Médio 
(8)</v>
      </c>
      <c r="J26" s="97" t="s">
        <v>618</v>
      </c>
      <c r="K26" s="95" t="s">
        <v>507</v>
      </c>
      <c r="L26" s="95" t="s">
        <v>619</v>
      </c>
      <c r="M26" s="95" t="s">
        <v>533</v>
      </c>
      <c r="N26" s="144" t="s">
        <v>620</v>
      </c>
      <c r="O26" s="97">
        <v>2</v>
      </c>
      <c r="P26" s="95">
        <v>2</v>
      </c>
      <c r="Q26" s="184" t="str">
        <f>IFERROR(INDEX(Tabelas!$E$5:$I$9, MATCH(Tabela13[[#This Row],[PROBA-BILIDA-DE ]], Tabelas!$D$5:$D$9, 0), MATCH(Tabela13[[#This Row],[SEVERI-DADE ]], Tabelas!$E$4:$I$4, 0)),"")</f>
        <v>¹Baixo 
(7)</v>
      </c>
      <c r="R26" s="96" t="s">
        <v>621</v>
      </c>
    </row>
    <row r="27" spans="2:18" s="179" customFormat="1" ht="25.5" x14ac:dyDescent="0.25">
      <c r="B27" s="97" t="s">
        <v>529</v>
      </c>
      <c r="C27" s="95" t="s">
        <v>622</v>
      </c>
      <c r="D27" s="95" t="s">
        <v>623</v>
      </c>
      <c r="E27" s="95" t="s">
        <v>624</v>
      </c>
      <c r="F27" s="96" t="s">
        <v>625</v>
      </c>
      <c r="G27" s="97">
        <v>3</v>
      </c>
      <c r="H27" s="95">
        <v>2</v>
      </c>
      <c r="I27" s="185" t="str">
        <f>IFERROR(INDEX(Tabelas!$E$5:$I$9, MATCH(Tabela13[[#This Row],[PROBA-BILIDA-DE]], Tabelas!$D$5:$D$9, 0), MATCH(Tabela13[[#This Row],[SEVERI-DADE]], Tabelas!$E$4:$I$4, 0)),"")</f>
        <v>²Médio 
(8)</v>
      </c>
      <c r="J27" s="97" t="s">
        <v>507</v>
      </c>
      <c r="K27" s="95" t="s">
        <v>507</v>
      </c>
      <c r="L27" s="95" t="s">
        <v>507</v>
      </c>
      <c r="M27" s="95" t="s">
        <v>626</v>
      </c>
      <c r="N27" s="144" t="s">
        <v>627</v>
      </c>
      <c r="O27" s="97">
        <v>2</v>
      </c>
      <c r="P27" s="95">
        <v>1</v>
      </c>
      <c r="Q27" s="184" t="str">
        <f>IFERROR(INDEX(Tabelas!$E$5:$I$9, MATCH(Tabela13[[#This Row],[PROBA-BILIDA-DE ]], Tabelas!$D$5:$D$9, 0), MATCH(Tabela13[[#This Row],[SEVERI-DADE ]], Tabelas!$E$4:$I$4, 0)),"")</f>
        <v>¹Baixo 
(2)</v>
      </c>
      <c r="R27" s="96" t="s">
        <v>559</v>
      </c>
    </row>
    <row r="28" spans="2:18" s="179" customFormat="1" ht="38.25" x14ac:dyDescent="0.25">
      <c r="B28" s="97" t="s">
        <v>511</v>
      </c>
      <c r="C28" s="95" t="s">
        <v>277</v>
      </c>
      <c r="D28" s="95" t="s">
        <v>628</v>
      </c>
      <c r="E28" s="95" t="s">
        <v>629</v>
      </c>
      <c r="F28" s="96" t="s">
        <v>630</v>
      </c>
      <c r="G28" s="97">
        <v>2</v>
      </c>
      <c r="H28" s="95">
        <v>4</v>
      </c>
      <c r="I28" s="185" t="str">
        <f>IFERROR(INDEX(Tabelas!$E$5:$I$9, MATCH(Tabela13[[#This Row],[PROBA-BILIDA-DE]], Tabelas!$D$5:$D$9, 0), MATCH(Tabela13[[#This Row],[SEVERI-DADE]], Tabelas!$E$4:$I$4, 0)),"")</f>
        <v>²Médio 
(17)</v>
      </c>
      <c r="J28" s="97" t="s">
        <v>507</v>
      </c>
      <c r="K28" s="95" t="s">
        <v>507</v>
      </c>
      <c r="L28" s="95" t="s">
        <v>631</v>
      </c>
      <c r="M28" s="143" t="s">
        <v>632</v>
      </c>
      <c r="N28" s="144" t="s">
        <v>577</v>
      </c>
      <c r="O28" s="97">
        <v>2</v>
      </c>
      <c r="P28" s="95">
        <v>2</v>
      </c>
      <c r="Q28" s="184" t="str">
        <f>IFERROR(INDEX(Tabelas!$E$5:$I$9, MATCH(Tabela13[[#This Row],[PROBA-BILIDA-DE ]], Tabelas!$D$5:$D$9, 0), MATCH(Tabela13[[#This Row],[SEVERI-DADE ]], Tabelas!$E$4:$I$4, 0)),"")</f>
        <v>¹Baixo 
(7)</v>
      </c>
      <c r="R28" s="96" t="s">
        <v>633</v>
      </c>
    </row>
    <row r="29" spans="2:18" s="179" customFormat="1" ht="102" x14ac:dyDescent="0.25">
      <c r="B29" s="97" t="s">
        <v>634</v>
      </c>
      <c r="C29" s="95" t="s">
        <v>635</v>
      </c>
      <c r="D29" s="95" t="s">
        <v>636</v>
      </c>
      <c r="E29" s="95" t="s">
        <v>637</v>
      </c>
      <c r="F29" s="96" t="s">
        <v>638</v>
      </c>
      <c r="G29" s="97">
        <v>2</v>
      </c>
      <c r="H29" s="95">
        <v>3</v>
      </c>
      <c r="I29" s="185" t="str">
        <f>IFERROR(INDEX(Tabelas!$E$5:$I$9, MATCH(Tabela13[[#This Row],[PROBA-BILIDA-DE]], Tabelas!$D$5:$D$9, 0), MATCH(Tabela13[[#This Row],[SEVERI-DADE]], Tabelas!$E$4:$I$4, 0)),"")</f>
        <v>²Médio 
(12)</v>
      </c>
      <c r="J29" s="97" t="s">
        <v>507</v>
      </c>
      <c r="K29" s="95" t="s">
        <v>507</v>
      </c>
      <c r="L29" s="143" t="s">
        <v>639</v>
      </c>
      <c r="M29" s="143" t="s">
        <v>640</v>
      </c>
      <c r="N29" s="144" t="s">
        <v>641</v>
      </c>
      <c r="O29" s="97">
        <v>2</v>
      </c>
      <c r="P29" s="95">
        <v>1</v>
      </c>
      <c r="Q29" s="184" t="str">
        <f>IFERROR(INDEX(Tabelas!$E$5:$I$9, MATCH(Tabela13[[#This Row],[PROBA-BILIDA-DE ]], Tabelas!$D$5:$D$9, 0), MATCH(Tabela13[[#This Row],[SEVERI-DADE ]], Tabelas!$E$4:$I$4, 0)),"")</f>
        <v>¹Baixo 
(2)</v>
      </c>
      <c r="R29" s="144" t="s">
        <v>642</v>
      </c>
    </row>
    <row r="30" spans="2:18" s="179" customFormat="1" ht="51" x14ac:dyDescent="0.25">
      <c r="B30" s="97" t="s">
        <v>275</v>
      </c>
      <c r="C30" s="95" t="s">
        <v>643</v>
      </c>
      <c r="D30" s="95" t="s">
        <v>644</v>
      </c>
      <c r="E30" s="95" t="s">
        <v>645</v>
      </c>
      <c r="F30" s="96" t="s">
        <v>646</v>
      </c>
      <c r="G30" s="97">
        <v>2</v>
      </c>
      <c r="H30" s="95">
        <v>3</v>
      </c>
      <c r="I30" s="185" t="str">
        <f>IFERROR(INDEX(Tabelas!$E$5:$I$9, MATCH(Tabela13[[#This Row],[PROBA-BILIDA-DE]], Tabelas!$D$5:$D$9, 0), MATCH(Tabela13[[#This Row],[SEVERI-DADE]], Tabelas!$E$4:$I$4, 0)),"")</f>
        <v>²Médio 
(12)</v>
      </c>
      <c r="J30" s="97" t="s">
        <v>647</v>
      </c>
      <c r="K30" s="95" t="s">
        <v>507</v>
      </c>
      <c r="L30" s="95" t="s">
        <v>648</v>
      </c>
      <c r="M30" s="95" t="s">
        <v>649</v>
      </c>
      <c r="N30" s="144" t="s">
        <v>650</v>
      </c>
      <c r="O30" s="97">
        <v>1</v>
      </c>
      <c r="P30" s="95">
        <v>1</v>
      </c>
      <c r="Q30" s="184" t="str">
        <f>IFERROR(INDEX(Tabelas!$E$5:$I$9, MATCH(Tabela13[[#This Row],[PROBA-BILIDA-DE ]], Tabelas!$D$5:$D$9, 0), MATCH(Tabela13[[#This Row],[SEVERI-DADE ]], Tabelas!$E$4:$I$4, 0)),"")</f>
        <v>¹Baixo 
(1)</v>
      </c>
      <c r="R30" s="96" t="s">
        <v>651</v>
      </c>
    </row>
    <row r="31" spans="2:18" s="179" customFormat="1" ht="25.5" x14ac:dyDescent="0.25">
      <c r="B31" s="97" t="s">
        <v>529</v>
      </c>
      <c r="C31" s="95" t="s">
        <v>652</v>
      </c>
      <c r="D31" s="95" t="s">
        <v>653</v>
      </c>
      <c r="E31" s="95" t="s">
        <v>654</v>
      </c>
      <c r="F31" s="96" t="s">
        <v>655</v>
      </c>
      <c r="G31" s="97">
        <v>2</v>
      </c>
      <c r="H31" s="95">
        <v>3</v>
      </c>
      <c r="I31" s="185" t="str">
        <f>IFERROR(INDEX(Tabelas!$E$5:$I$9, MATCH(Tabela13[[#This Row],[PROBA-BILIDA-DE]], Tabelas!$D$5:$D$9, 0), MATCH(Tabela13[[#This Row],[SEVERI-DADE]], Tabelas!$E$4:$I$4, 0)),"")</f>
        <v>²Médio 
(12)</v>
      </c>
      <c r="J31" s="97" t="s">
        <v>507</v>
      </c>
      <c r="K31" s="95" t="s">
        <v>507</v>
      </c>
      <c r="L31" s="95" t="s">
        <v>567</v>
      </c>
      <c r="M31" s="95" t="s">
        <v>533</v>
      </c>
      <c r="N31" s="144" t="s">
        <v>569</v>
      </c>
      <c r="O31" s="97">
        <v>1</v>
      </c>
      <c r="P31" s="95">
        <v>1</v>
      </c>
      <c r="Q31" s="184" t="str">
        <f>IFERROR(INDEX(Tabelas!$E$5:$I$9, MATCH(Tabela13[[#This Row],[PROBA-BILIDA-DE ]], Tabelas!$D$5:$D$9, 0), MATCH(Tabela13[[#This Row],[SEVERI-DADE ]], Tabelas!$E$4:$I$4, 0)),"")</f>
        <v>¹Baixo 
(1)</v>
      </c>
      <c r="R31" s="96" t="s">
        <v>656</v>
      </c>
    </row>
    <row r="32" spans="2:18" s="179" customFormat="1" ht="25.5" x14ac:dyDescent="0.25">
      <c r="B32" s="97" t="s">
        <v>529</v>
      </c>
      <c r="C32" s="95" t="s">
        <v>657</v>
      </c>
      <c r="D32" s="95" t="s">
        <v>658</v>
      </c>
      <c r="E32" s="95" t="s">
        <v>659</v>
      </c>
      <c r="F32" s="96" t="s">
        <v>660</v>
      </c>
      <c r="G32" s="97">
        <v>2</v>
      </c>
      <c r="H32" s="95">
        <v>3</v>
      </c>
      <c r="I32" s="185" t="str">
        <f>IFERROR(INDEX(Tabelas!$E$5:$I$9, MATCH(Tabela13[[#This Row],[PROBA-BILIDA-DE]], Tabelas!$D$5:$D$9, 0), MATCH(Tabela13[[#This Row],[SEVERI-DADE]], Tabelas!$E$4:$I$4, 0)),"")</f>
        <v>²Médio 
(12)</v>
      </c>
      <c r="J32" s="97" t="s">
        <v>507</v>
      </c>
      <c r="K32" s="95" t="s">
        <v>507</v>
      </c>
      <c r="L32" s="95" t="s">
        <v>661</v>
      </c>
      <c r="M32" s="95" t="s">
        <v>662</v>
      </c>
      <c r="N32" s="144" t="s">
        <v>663</v>
      </c>
      <c r="O32" s="97">
        <v>1</v>
      </c>
      <c r="P32" s="95">
        <v>1</v>
      </c>
      <c r="Q32" s="184" t="str">
        <f>IFERROR(INDEX(Tabelas!$E$5:$I$9, MATCH(Tabela13[[#This Row],[PROBA-BILIDA-DE ]], Tabelas!$D$5:$D$9, 0), MATCH(Tabela13[[#This Row],[SEVERI-DADE ]], Tabelas!$E$4:$I$4, 0)),"")</f>
        <v>¹Baixo 
(1)</v>
      </c>
      <c r="R32" s="96" t="s">
        <v>664</v>
      </c>
    </row>
    <row r="33" spans="2:18" s="179" customFormat="1" ht="51" x14ac:dyDescent="0.25">
      <c r="B33" s="97" t="s">
        <v>275</v>
      </c>
      <c r="C33" s="95" t="s">
        <v>665</v>
      </c>
      <c r="D33" s="95" t="s">
        <v>666</v>
      </c>
      <c r="E33" s="95" t="s">
        <v>645</v>
      </c>
      <c r="F33" s="96" t="s">
        <v>667</v>
      </c>
      <c r="G33" s="97">
        <v>2</v>
      </c>
      <c r="H33" s="95">
        <v>2</v>
      </c>
      <c r="I33" s="185" t="str">
        <f>IFERROR(INDEX(Tabelas!$E$5:$I$9, MATCH(Tabela13[[#This Row],[PROBA-BILIDA-DE]], Tabelas!$D$5:$D$9, 0), MATCH(Tabela13[[#This Row],[SEVERI-DADE]], Tabelas!$E$4:$I$4, 0)),"")</f>
        <v>¹Baixo 
(7)</v>
      </c>
      <c r="J33" s="97" t="s">
        <v>618</v>
      </c>
      <c r="K33" s="95" t="s">
        <v>507</v>
      </c>
      <c r="L33" s="95" t="s">
        <v>668</v>
      </c>
      <c r="M33" s="95" t="s">
        <v>533</v>
      </c>
      <c r="N33" s="144" t="s">
        <v>650</v>
      </c>
      <c r="O33" s="97">
        <v>1</v>
      </c>
      <c r="P33" s="95">
        <v>1</v>
      </c>
      <c r="Q33" s="184" t="str">
        <f>IFERROR(INDEX(Tabelas!$E$5:$I$9, MATCH(Tabela13[[#This Row],[PROBA-BILIDA-DE ]], Tabelas!$D$5:$D$9, 0), MATCH(Tabela13[[#This Row],[SEVERI-DADE ]], Tabelas!$E$4:$I$4, 0)),"")</f>
        <v>¹Baixo 
(1)</v>
      </c>
      <c r="R33" s="96" t="s">
        <v>669</v>
      </c>
    </row>
    <row r="34" spans="2:18" s="179" customFormat="1" ht="51" x14ac:dyDescent="0.25">
      <c r="B34" s="97" t="s">
        <v>529</v>
      </c>
      <c r="C34" s="95" t="s">
        <v>512</v>
      </c>
      <c r="D34" s="95" t="s">
        <v>513</v>
      </c>
      <c r="E34" s="95" t="s">
        <v>670</v>
      </c>
      <c r="F34" s="96" t="s">
        <v>671</v>
      </c>
      <c r="G34" s="97">
        <v>1</v>
      </c>
      <c r="H34" s="95">
        <v>3</v>
      </c>
      <c r="I34" s="185" t="str">
        <f>IFERROR(INDEX(Tabelas!$E$5:$I$9, MATCH(Tabela13[[#This Row],[PROBA-BILIDA-DE]], Tabelas!$D$5:$D$9, 0), MATCH(Tabela13[[#This Row],[SEVERI-DADE]], Tabelas!$E$4:$I$4, 0)),"")</f>
        <v>¹Baixo 
(11)</v>
      </c>
      <c r="J34" s="97" t="s">
        <v>507</v>
      </c>
      <c r="K34" s="95" t="s">
        <v>507</v>
      </c>
      <c r="L34" s="95" t="s">
        <v>507</v>
      </c>
      <c r="M34" s="95" t="s">
        <v>507</v>
      </c>
      <c r="N34" s="144" t="s">
        <v>672</v>
      </c>
      <c r="O34" s="97">
        <v>1</v>
      </c>
      <c r="P34" s="95">
        <v>1</v>
      </c>
      <c r="Q34" s="184" t="str">
        <f>IFERROR(INDEX(Tabelas!$E$5:$I$9, MATCH(Tabela13[[#This Row],[PROBA-BILIDA-DE ]], Tabelas!$D$5:$D$9, 0), MATCH(Tabela13[[#This Row],[SEVERI-DADE ]], Tabelas!$E$4:$I$4, 0)),"")</f>
        <v>¹Baixo 
(1)</v>
      </c>
      <c r="R34" s="96" t="s">
        <v>520</v>
      </c>
    </row>
    <row r="35" spans="2:18" s="179" customFormat="1" x14ac:dyDescent="0.25">
      <c r="B35" s="97"/>
      <c r="C35" s="95" t="s">
        <v>1141</v>
      </c>
      <c r="D35" s="95" t="s">
        <v>1142</v>
      </c>
      <c r="E35" s="95"/>
      <c r="F35" s="96"/>
      <c r="G35" s="97"/>
      <c r="H35" s="95"/>
      <c r="I35" s="185" t="str">
        <f>IFERROR(INDEX(Tabelas!$E$5:$I$9, MATCH(Tabela13[[#This Row],[PROBA-BILIDA-DE]], Tabelas!$D$5:$D$9, 0), MATCH(Tabela13[[#This Row],[SEVERI-DADE]], Tabelas!$E$4:$I$4, 0)),"")</f>
        <v/>
      </c>
      <c r="J35" s="97"/>
      <c r="K35" s="95"/>
      <c r="L35" s="95"/>
      <c r="M35" s="95"/>
      <c r="N35" s="144"/>
      <c r="O35" s="97"/>
      <c r="P35" s="95"/>
      <c r="Q35" s="184" t="str">
        <f>IFERROR(INDEX(Tabelas!$E$5:$I$9, MATCH(Tabela13[[#This Row],[PROBA-BILIDA-DE ]], Tabelas!$D$5:$D$9, 0), MATCH(Tabela13[[#This Row],[SEVERI-DADE ]], Tabelas!$E$4:$I$4, 0)),"")</f>
        <v/>
      </c>
      <c r="R35" s="96"/>
    </row>
    <row r="36" spans="2:18" s="179" customFormat="1" ht="15" thickBot="1" x14ac:dyDescent="0.3">
      <c r="B36" s="97"/>
      <c r="C36" s="95"/>
      <c r="D36" s="95"/>
      <c r="E36" s="95"/>
      <c r="F36" s="96"/>
      <c r="G36" s="97"/>
      <c r="H36" s="95"/>
      <c r="I36" s="185" t="str">
        <f>IFERROR(INDEX(Tabelas!$E$5:$I$9, MATCH(Tabela13[[#This Row],[PROBA-BILIDA-DE]], Tabelas!$D$5:$D$9, 0), MATCH(Tabela13[[#This Row],[SEVERI-DADE]], Tabelas!$E$4:$I$4, 0)),"")</f>
        <v/>
      </c>
      <c r="J36" s="97"/>
      <c r="K36" s="95"/>
      <c r="L36" s="95"/>
      <c r="M36" s="95"/>
      <c r="N36" s="144"/>
      <c r="O36" s="97"/>
      <c r="P36" s="95"/>
      <c r="Q36" s="184" t="str">
        <f>IFERROR(INDEX(Tabelas!$E$5:$I$9, MATCH(Tabela13[[#This Row],[PROBA-BILIDA-DE ]], Tabelas!$D$5:$D$9, 0), MATCH(Tabela13[[#This Row],[SEVERI-DADE ]], Tabelas!$E$4:$I$4, 0)),"")</f>
        <v/>
      </c>
      <c r="R36" s="96"/>
    </row>
    <row r="37" spans="2:18" s="179" customFormat="1" ht="15" thickBot="1" x14ac:dyDescent="0.3">
      <c r="B37" s="97"/>
      <c r="C37" s="95"/>
      <c r="D37" s="95"/>
      <c r="E37" s="95"/>
      <c r="F37" s="96"/>
      <c r="G37" s="97"/>
      <c r="H37" s="95"/>
      <c r="I37" s="185" t="str">
        <f>IFERROR(INDEX(Tabelas!$E$5:$I$9, MATCH(Tabela13[[#This Row],[PROBA-BILIDA-DE]], Tabelas!$D$5:$D$9, 0), MATCH(Tabela13[[#This Row],[SEVERI-DADE]], Tabelas!$E$4:$I$4, 0)),"")</f>
        <v/>
      </c>
      <c r="J37" s="97"/>
      <c r="K37" s="95"/>
      <c r="L37" s="95"/>
      <c r="M37" s="95"/>
      <c r="N37" s="144"/>
      <c r="O37" s="97"/>
      <c r="P37" s="95"/>
      <c r="Q37" s="184" t="str">
        <f>IFERROR(INDEX(Tabelas!$E$5:$I$9, MATCH(Tabela13[[#This Row],[PROBA-BILIDA-DE ]], Tabelas!$D$5:$D$9, 0), MATCH(Tabela13[[#This Row],[SEVERI-DADE ]], Tabelas!$E$4:$I$4, 0)),"")</f>
        <v/>
      </c>
      <c r="R37" s="96"/>
    </row>
    <row r="38" spans="2:18" s="179" customFormat="1" ht="15" thickBot="1" x14ac:dyDescent="0.3">
      <c r="B38" s="97"/>
      <c r="C38" s="95"/>
      <c r="D38" s="95"/>
      <c r="E38" s="95"/>
      <c r="F38" s="96"/>
      <c r="G38" s="97"/>
      <c r="H38" s="95"/>
      <c r="I38" s="185" t="str">
        <f>IFERROR(INDEX(Tabelas!$E$5:$I$9, MATCH(Tabela13[[#This Row],[PROBA-BILIDA-DE]], Tabelas!$D$5:$D$9, 0), MATCH(Tabela13[[#This Row],[SEVERI-DADE]], Tabelas!$E$4:$I$4, 0)),"")</f>
        <v/>
      </c>
      <c r="J38" s="97"/>
      <c r="K38" s="95"/>
      <c r="L38" s="95"/>
      <c r="M38" s="95"/>
      <c r="N38" s="144"/>
      <c r="O38" s="97"/>
      <c r="P38" s="95"/>
      <c r="Q38" s="184" t="str">
        <f>IFERROR(INDEX(Tabelas!$E$5:$I$9, MATCH(Tabela13[[#This Row],[PROBA-BILIDA-DE ]], Tabelas!$D$5:$D$9, 0), MATCH(Tabela13[[#This Row],[SEVERI-DADE ]], Tabelas!$E$4:$I$4, 0)),"")</f>
        <v/>
      </c>
      <c r="R38" s="96"/>
    </row>
    <row r="39" spans="2:18" s="179" customFormat="1" ht="15" thickBot="1" x14ac:dyDescent="0.3">
      <c r="B39" s="97"/>
      <c r="C39" s="95"/>
      <c r="D39" s="95"/>
      <c r="E39" s="95"/>
      <c r="F39" s="96"/>
      <c r="G39" s="97"/>
      <c r="H39" s="95"/>
      <c r="I39" s="185" t="str">
        <f>IFERROR(INDEX(Tabelas!$E$5:$I$9, MATCH(Tabela13[[#This Row],[PROBA-BILIDA-DE]], Tabelas!$D$5:$D$9, 0), MATCH(Tabela13[[#This Row],[SEVERI-DADE]], Tabelas!$E$4:$I$4, 0)),"")</f>
        <v/>
      </c>
      <c r="J39" s="97"/>
      <c r="K39" s="95"/>
      <c r="L39" s="95"/>
      <c r="M39" s="95"/>
      <c r="N39" s="144"/>
      <c r="O39" s="97"/>
      <c r="P39" s="95"/>
      <c r="Q39" s="184" t="str">
        <f>IFERROR(INDEX(Tabelas!$E$5:$I$9, MATCH(Tabela13[[#This Row],[PROBA-BILIDA-DE ]], Tabelas!$D$5:$D$9, 0), MATCH(Tabela13[[#This Row],[SEVERI-DADE ]], Tabelas!$E$4:$I$4, 0)),"")</f>
        <v/>
      </c>
      <c r="R39" s="96"/>
    </row>
    <row r="40" spans="2:18" s="179" customFormat="1" ht="15" thickBot="1" x14ac:dyDescent="0.3">
      <c r="B40" s="97"/>
      <c r="C40" s="95"/>
      <c r="D40" s="95"/>
      <c r="E40" s="95"/>
      <c r="F40" s="96"/>
      <c r="G40" s="97"/>
      <c r="H40" s="95"/>
      <c r="I40" s="185" t="str">
        <f>IFERROR(INDEX(Tabelas!$E$5:$I$9, MATCH(Tabela13[[#This Row],[PROBA-BILIDA-DE]], Tabelas!$D$5:$D$9, 0), MATCH(Tabela13[[#This Row],[SEVERI-DADE]], Tabelas!$E$4:$I$4, 0)),"")</f>
        <v/>
      </c>
      <c r="J40" s="97"/>
      <c r="K40" s="95"/>
      <c r="L40" s="95"/>
      <c r="M40" s="95"/>
      <c r="N40" s="144"/>
      <c r="O40" s="97"/>
      <c r="P40" s="95"/>
      <c r="Q40" s="184" t="str">
        <f>IFERROR(INDEX(Tabelas!$E$5:$I$9, MATCH(Tabela13[[#This Row],[PROBA-BILIDA-DE ]], Tabelas!$D$5:$D$9, 0), MATCH(Tabela13[[#This Row],[SEVERI-DADE ]], Tabelas!$E$4:$I$4, 0)),"")</f>
        <v/>
      </c>
      <c r="R40" s="96"/>
    </row>
    <row r="41" spans="2:18" s="179" customFormat="1" ht="15" thickBot="1" x14ac:dyDescent="0.3">
      <c r="B41" s="97"/>
      <c r="C41" s="95"/>
      <c r="D41" s="95"/>
      <c r="E41" s="95"/>
      <c r="F41" s="96"/>
      <c r="G41" s="97"/>
      <c r="H41" s="95"/>
      <c r="I41" s="185" t="str">
        <f>IFERROR(INDEX(Tabelas!$E$5:$I$9, MATCH(Tabela13[[#This Row],[PROBA-BILIDA-DE]], Tabelas!$D$5:$D$9, 0), MATCH(Tabela13[[#This Row],[SEVERI-DADE]], Tabelas!$E$4:$I$4, 0)),"")</f>
        <v/>
      </c>
      <c r="J41" s="97"/>
      <c r="K41" s="95"/>
      <c r="L41" s="95"/>
      <c r="M41" s="95"/>
      <c r="N41" s="144"/>
      <c r="O41" s="97"/>
      <c r="P41" s="95"/>
      <c r="Q41" s="184" t="str">
        <f>IFERROR(INDEX(Tabelas!$E$5:$I$9, MATCH(Tabela13[[#This Row],[PROBA-BILIDA-DE ]], Tabelas!$D$5:$D$9, 0), MATCH(Tabela13[[#This Row],[SEVERI-DADE ]], Tabelas!$E$4:$I$4, 0)),"")</f>
        <v/>
      </c>
      <c r="R41" s="96"/>
    </row>
    <row r="42" spans="2:18" s="179" customFormat="1" ht="15" thickBot="1" x14ac:dyDescent="0.3">
      <c r="B42" s="97"/>
      <c r="C42" s="95"/>
      <c r="D42" s="95"/>
      <c r="E42" s="95"/>
      <c r="F42" s="96"/>
      <c r="G42" s="97"/>
      <c r="H42" s="95"/>
      <c r="I42" s="185" t="str">
        <f>IFERROR(INDEX(Tabelas!$E$5:$I$9, MATCH(Tabela13[[#This Row],[PROBA-BILIDA-DE]], Tabelas!$D$5:$D$9, 0), MATCH(Tabela13[[#This Row],[SEVERI-DADE]], Tabelas!$E$4:$I$4, 0)),"")</f>
        <v/>
      </c>
      <c r="J42" s="97"/>
      <c r="K42" s="95"/>
      <c r="L42" s="95"/>
      <c r="M42" s="95"/>
      <c r="N42" s="144"/>
      <c r="O42" s="97"/>
      <c r="P42" s="95"/>
      <c r="Q42" s="184" t="str">
        <f>IFERROR(INDEX(Tabelas!$E$5:$I$9, MATCH(Tabela13[[#This Row],[PROBA-BILIDA-DE ]], Tabelas!$D$5:$D$9, 0), MATCH(Tabela13[[#This Row],[SEVERI-DADE ]], Tabelas!$E$4:$I$4, 0)),"")</f>
        <v/>
      </c>
      <c r="R42" s="96"/>
    </row>
    <row r="43" spans="2:18" s="179" customFormat="1" ht="15" thickBot="1" x14ac:dyDescent="0.3">
      <c r="B43" s="97"/>
      <c r="C43" s="95"/>
      <c r="D43" s="95"/>
      <c r="E43" s="95"/>
      <c r="F43" s="96"/>
      <c r="G43" s="97"/>
      <c r="H43" s="95"/>
      <c r="I43" s="185" t="str">
        <f>IFERROR(INDEX(Tabelas!$E$5:$I$9, MATCH(Tabela13[[#This Row],[PROBA-BILIDA-DE]], Tabelas!$D$5:$D$9, 0), MATCH(Tabela13[[#This Row],[SEVERI-DADE]], Tabelas!$E$4:$I$4, 0)),"")</f>
        <v/>
      </c>
      <c r="J43" s="97"/>
      <c r="K43" s="95"/>
      <c r="L43" s="95"/>
      <c r="M43" s="95"/>
      <c r="N43" s="144"/>
      <c r="O43" s="97"/>
      <c r="P43" s="95"/>
      <c r="Q43" s="184" t="str">
        <f>IFERROR(INDEX(Tabelas!$E$5:$I$9, MATCH(Tabela13[[#This Row],[PROBA-BILIDA-DE ]], Tabelas!$D$5:$D$9, 0), MATCH(Tabela13[[#This Row],[SEVERI-DADE ]], Tabelas!$E$4:$I$4, 0)),"")</f>
        <v/>
      </c>
      <c r="R43" s="96"/>
    </row>
    <row r="44" spans="2:18" s="179" customFormat="1" ht="15" thickBot="1" x14ac:dyDescent="0.3">
      <c r="B44" s="97"/>
      <c r="C44" s="95"/>
      <c r="D44" s="95"/>
      <c r="E44" s="95"/>
      <c r="F44" s="96"/>
      <c r="G44" s="97"/>
      <c r="H44" s="95"/>
      <c r="I44" s="185" t="str">
        <f>IFERROR(INDEX(Tabelas!$E$5:$I$9, MATCH(Tabela13[[#This Row],[PROBA-BILIDA-DE]], Tabelas!$D$5:$D$9, 0), MATCH(Tabela13[[#This Row],[SEVERI-DADE]], Tabelas!$E$4:$I$4, 0)),"")</f>
        <v/>
      </c>
      <c r="J44" s="97"/>
      <c r="K44" s="95"/>
      <c r="L44" s="95"/>
      <c r="M44" s="95"/>
      <c r="N44" s="144"/>
      <c r="O44" s="97"/>
      <c r="P44" s="95"/>
      <c r="Q44" s="184" t="str">
        <f>IFERROR(INDEX(Tabelas!$E$5:$I$9, MATCH(Tabela13[[#This Row],[PROBA-BILIDA-DE ]], Tabelas!$D$5:$D$9, 0), MATCH(Tabela13[[#This Row],[SEVERI-DADE ]], Tabelas!$E$4:$I$4, 0)),"")</f>
        <v/>
      </c>
      <c r="R44" s="96"/>
    </row>
    <row r="45" spans="2:18" s="179" customFormat="1" ht="15" thickBot="1" x14ac:dyDescent="0.3">
      <c r="B45" s="97"/>
      <c r="C45" s="95"/>
      <c r="D45" s="95"/>
      <c r="E45" s="95"/>
      <c r="F45" s="96"/>
      <c r="G45" s="97"/>
      <c r="H45" s="95"/>
      <c r="I45" s="185" t="str">
        <f>IFERROR(INDEX(Tabelas!$E$5:$I$9, MATCH(Tabela13[[#This Row],[PROBA-BILIDA-DE]], Tabelas!$D$5:$D$9, 0), MATCH(Tabela13[[#This Row],[SEVERI-DADE]], Tabelas!$E$4:$I$4, 0)),"")</f>
        <v/>
      </c>
      <c r="J45" s="97"/>
      <c r="K45" s="95"/>
      <c r="L45" s="95"/>
      <c r="M45" s="95"/>
      <c r="N45" s="144"/>
      <c r="O45" s="97"/>
      <c r="P45" s="95"/>
      <c r="Q45" s="184" t="str">
        <f>IFERROR(INDEX(Tabelas!$E$5:$I$9, MATCH(Tabela13[[#This Row],[PROBA-BILIDA-DE ]], Tabelas!$D$5:$D$9, 0), MATCH(Tabela13[[#This Row],[SEVERI-DADE ]], Tabelas!$E$4:$I$4, 0)),"")</f>
        <v/>
      </c>
      <c r="R45" s="96"/>
    </row>
    <row r="46" spans="2:18" s="179" customFormat="1" ht="15" thickBot="1" x14ac:dyDescent="0.3">
      <c r="B46" s="97"/>
      <c r="C46" s="95"/>
      <c r="D46" s="95"/>
      <c r="E46" s="95"/>
      <c r="F46" s="96"/>
      <c r="G46" s="97"/>
      <c r="H46" s="95"/>
      <c r="I46" s="185" t="str">
        <f>IFERROR(INDEX(Tabelas!$E$5:$I$9, MATCH(Tabela13[[#This Row],[PROBA-BILIDA-DE]], Tabelas!$D$5:$D$9, 0), MATCH(Tabela13[[#This Row],[SEVERI-DADE]], Tabelas!$E$4:$I$4, 0)),"")</f>
        <v/>
      </c>
      <c r="J46" s="97"/>
      <c r="K46" s="95"/>
      <c r="L46" s="95"/>
      <c r="M46" s="95"/>
      <c r="N46" s="144"/>
      <c r="O46" s="97"/>
      <c r="P46" s="95"/>
      <c r="Q46" s="184" t="str">
        <f>IFERROR(INDEX(Tabelas!$E$5:$I$9, MATCH(Tabela13[[#This Row],[PROBA-BILIDA-DE ]], Tabelas!$D$5:$D$9, 0), MATCH(Tabela13[[#This Row],[SEVERI-DADE ]], Tabelas!$E$4:$I$4, 0)),"")</f>
        <v/>
      </c>
      <c r="R46" s="96"/>
    </row>
    <row r="47" spans="2:18" s="179" customFormat="1" ht="15" thickBot="1" x14ac:dyDescent="0.3">
      <c r="B47" s="97"/>
      <c r="C47" s="95"/>
      <c r="D47" s="95"/>
      <c r="E47" s="95"/>
      <c r="F47" s="96"/>
      <c r="G47" s="97"/>
      <c r="H47" s="95"/>
      <c r="I47" s="185" t="str">
        <f>IFERROR(INDEX(Tabelas!$E$5:$I$9, MATCH(Tabela13[[#This Row],[PROBA-BILIDA-DE]], Tabelas!$D$5:$D$9, 0), MATCH(Tabela13[[#This Row],[SEVERI-DADE]], Tabelas!$E$4:$I$4, 0)),"")</f>
        <v/>
      </c>
      <c r="J47" s="97"/>
      <c r="K47" s="95"/>
      <c r="L47" s="95"/>
      <c r="M47" s="95"/>
      <c r="N47" s="144"/>
      <c r="O47" s="97"/>
      <c r="P47" s="95"/>
      <c r="Q47" s="184" t="str">
        <f>IFERROR(INDEX(Tabelas!$E$5:$I$9, MATCH(Tabela13[[#This Row],[PROBA-BILIDA-DE ]], Tabelas!$D$5:$D$9, 0), MATCH(Tabela13[[#This Row],[SEVERI-DADE ]], Tabelas!$E$4:$I$4, 0)),"")</f>
        <v/>
      </c>
      <c r="R47" s="96"/>
    </row>
    <row r="48" spans="2:18" s="179" customFormat="1" ht="15" thickBot="1" x14ac:dyDescent="0.3">
      <c r="B48" s="97"/>
      <c r="C48" s="95"/>
      <c r="D48" s="95"/>
      <c r="E48" s="95"/>
      <c r="F48" s="96"/>
      <c r="G48" s="97"/>
      <c r="H48" s="95"/>
      <c r="I48" s="185" t="str">
        <f>IFERROR(INDEX(Tabelas!$E$5:$I$9, MATCH(Tabela13[[#This Row],[PROBA-BILIDA-DE]], Tabelas!$D$5:$D$9, 0), MATCH(Tabela13[[#This Row],[SEVERI-DADE]], Tabelas!$E$4:$I$4, 0)),"")</f>
        <v/>
      </c>
      <c r="J48" s="97"/>
      <c r="K48" s="95"/>
      <c r="L48" s="95"/>
      <c r="M48" s="95"/>
      <c r="N48" s="144"/>
      <c r="O48" s="97"/>
      <c r="P48" s="95"/>
      <c r="Q48" s="184" t="str">
        <f>IFERROR(INDEX(Tabelas!$E$5:$I$9, MATCH(Tabela13[[#This Row],[PROBA-BILIDA-DE ]], Tabelas!$D$5:$D$9, 0), MATCH(Tabela13[[#This Row],[SEVERI-DADE ]], Tabelas!$E$4:$I$4, 0)),"")</f>
        <v/>
      </c>
      <c r="R48" s="96"/>
    </row>
    <row r="49" spans="2:18" s="179" customFormat="1" ht="15" thickBot="1" x14ac:dyDescent="0.3">
      <c r="B49" s="97"/>
      <c r="C49" s="95"/>
      <c r="D49" s="95"/>
      <c r="E49" s="95"/>
      <c r="F49" s="96"/>
      <c r="G49" s="97"/>
      <c r="H49" s="95"/>
      <c r="I49" s="185" t="str">
        <f>IFERROR(INDEX(Tabelas!$E$5:$I$9, MATCH(Tabela13[[#This Row],[PROBA-BILIDA-DE]], Tabelas!$D$5:$D$9, 0), MATCH(Tabela13[[#This Row],[SEVERI-DADE]], Tabelas!$E$4:$I$4, 0)),"")</f>
        <v/>
      </c>
      <c r="J49" s="97"/>
      <c r="K49" s="95"/>
      <c r="L49" s="95"/>
      <c r="M49" s="95"/>
      <c r="N49" s="144"/>
      <c r="O49" s="97"/>
      <c r="P49" s="95"/>
      <c r="Q49" s="184" t="str">
        <f>IFERROR(INDEX(Tabelas!$E$5:$I$9, MATCH(Tabela13[[#This Row],[PROBA-BILIDA-DE ]], Tabelas!$D$5:$D$9, 0), MATCH(Tabela13[[#This Row],[SEVERI-DADE ]], Tabelas!$E$4:$I$4, 0)),"")</f>
        <v/>
      </c>
      <c r="R49" s="96"/>
    </row>
    <row r="50" spans="2:18" s="179" customFormat="1" ht="15" thickBot="1" x14ac:dyDescent="0.3">
      <c r="B50" s="97"/>
      <c r="C50" s="95"/>
      <c r="D50" s="95"/>
      <c r="E50" s="95"/>
      <c r="F50" s="96"/>
      <c r="G50" s="97"/>
      <c r="H50" s="95"/>
      <c r="I50" s="185" t="str">
        <f>IFERROR(INDEX(Tabelas!$E$5:$I$9, MATCH(Tabela13[[#This Row],[PROBA-BILIDA-DE]], Tabelas!$D$5:$D$9, 0), MATCH(Tabela13[[#This Row],[SEVERI-DADE]], Tabelas!$E$4:$I$4, 0)),"")</f>
        <v/>
      </c>
      <c r="J50" s="97"/>
      <c r="K50" s="95"/>
      <c r="L50" s="95"/>
      <c r="M50" s="95"/>
      <c r="N50" s="144"/>
      <c r="O50" s="97"/>
      <c r="P50" s="95"/>
      <c r="Q50" s="184" t="str">
        <f>IFERROR(INDEX(Tabelas!$E$5:$I$9, MATCH(Tabela13[[#This Row],[PROBA-BILIDA-DE ]], Tabelas!$D$5:$D$9, 0), MATCH(Tabela13[[#This Row],[SEVERI-DADE ]], Tabelas!$E$4:$I$4, 0)),"")</f>
        <v/>
      </c>
      <c r="R50" s="96"/>
    </row>
    <row r="51" spans="2:18" s="179" customFormat="1" ht="15" thickBot="1" x14ac:dyDescent="0.3">
      <c r="B51" s="97"/>
      <c r="C51" s="95"/>
      <c r="D51" s="95"/>
      <c r="E51" s="95"/>
      <c r="F51" s="96"/>
      <c r="G51" s="97"/>
      <c r="H51" s="95"/>
      <c r="I51" s="185" t="str">
        <f>IFERROR(INDEX(Tabelas!$E$5:$I$9, MATCH(Tabela13[[#This Row],[PROBA-BILIDA-DE]], Tabelas!$D$5:$D$9, 0), MATCH(Tabela13[[#This Row],[SEVERI-DADE]], Tabelas!$E$4:$I$4, 0)),"")</f>
        <v/>
      </c>
      <c r="J51" s="97"/>
      <c r="K51" s="95"/>
      <c r="L51" s="95"/>
      <c r="M51" s="95"/>
      <c r="N51" s="144"/>
      <c r="O51" s="97"/>
      <c r="P51" s="95"/>
      <c r="Q51" s="184" t="str">
        <f>IFERROR(INDEX(Tabelas!$E$5:$I$9, MATCH(Tabela13[[#This Row],[PROBA-BILIDA-DE ]], Tabelas!$D$5:$D$9, 0), MATCH(Tabela13[[#This Row],[SEVERI-DADE ]], Tabelas!$E$4:$I$4, 0)),"")</f>
        <v/>
      </c>
      <c r="R51" s="96"/>
    </row>
    <row r="52" spans="2:18" s="179" customFormat="1" ht="15" thickBot="1" x14ac:dyDescent="0.3">
      <c r="B52" s="97"/>
      <c r="C52" s="95"/>
      <c r="D52" s="95"/>
      <c r="E52" s="95"/>
      <c r="F52" s="96"/>
      <c r="G52" s="97"/>
      <c r="H52" s="95"/>
      <c r="I52" s="185" t="str">
        <f>IFERROR(INDEX(Tabelas!$E$5:$I$9, MATCH(Tabela13[[#This Row],[PROBA-BILIDA-DE]], Tabelas!$D$5:$D$9, 0), MATCH(Tabela13[[#This Row],[SEVERI-DADE]], Tabelas!$E$4:$I$4, 0)),"")</f>
        <v/>
      </c>
      <c r="J52" s="97"/>
      <c r="K52" s="95"/>
      <c r="L52" s="95"/>
      <c r="M52" s="95"/>
      <c r="N52" s="144"/>
      <c r="O52" s="97"/>
      <c r="P52" s="95"/>
      <c r="Q52" s="184" t="str">
        <f>IFERROR(INDEX(Tabelas!$E$5:$I$9, MATCH(Tabela13[[#This Row],[PROBA-BILIDA-DE ]], Tabelas!$D$5:$D$9, 0), MATCH(Tabela13[[#This Row],[SEVERI-DADE ]], Tabelas!$E$4:$I$4, 0)),"")</f>
        <v/>
      </c>
      <c r="R52" s="96"/>
    </row>
    <row r="53" spans="2:18" s="179" customFormat="1" ht="15" thickBot="1" x14ac:dyDescent="0.3">
      <c r="B53" s="97"/>
      <c r="C53" s="95"/>
      <c r="D53" s="95"/>
      <c r="E53" s="95"/>
      <c r="F53" s="96"/>
      <c r="G53" s="97"/>
      <c r="H53" s="95"/>
      <c r="I53" s="185" t="str">
        <f>IFERROR(INDEX(Tabelas!$E$5:$I$9, MATCH(Tabela13[[#This Row],[PROBA-BILIDA-DE]], Tabelas!$D$5:$D$9, 0), MATCH(Tabela13[[#This Row],[SEVERI-DADE]], Tabelas!$E$4:$I$4, 0)),"")</f>
        <v/>
      </c>
      <c r="J53" s="97"/>
      <c r="K53" s="95"/>
      <c r="L53" s="95"/>
      <c r="M53" s="95"/>
      <c r="N53" s="144"/>
      <c r="O53" s="97"/>
      <c r="P53" s="95"/>
      <c r="Q53" s="184" t="str">
        <f>IFERROR(INDEX(Tabelas!$E$5:$I$9, MATCH(Tabela13[[#This Row],[PROBA-BILIDA-DE ]], Tabelas!$D$5:$D$9, 0), MATCH(Tabela13[[#This Row],[SEVERI-DADE ]], Tabelas!$E$4:$I$4, 0)),"")</f>
        <v/>
      </c>
      <c r="R53" s="96"/>
    </row>
    <row r="54" spans="2:18" s="179" customFormat="1" ht="15" thickBot="1" x14ac:dyDescent="0.3">
      <c r="B54" s="97"/>
      <c r="C54" s="95"/>
      <c r="D54" s="95"/>
      <c r="E54" s="95"/>
      <c r="F54" s="96"/>
      <c r="G54" s="97"/>
      <c r="H54" s="95"/>
      <c r="I54" s="185" t="str">
        <f>IFERROR(INDEX(Tabelas!$E$5:$I$9, MATCH(Tabela13[[#This Row],[PROBA-BILIDA-DE]], Tabelas!$D$5:$D$9, 0), MATCH(Tabela13[[#This Row],[SEVERI-DADE]], Tabelas!$E$4:$I$4, 0)),"")</f>
        <v/>
      </c>
      <c r="J54" s="97"/>
      <c r="K54" s="95"/>
      <c r="L54" s="95"/>
      <c r="M54" s="95"/>
      <c r="N54" s="144"/>
      <c r="O54" s="97"/>
      <c r="P54" s="95"/>
      <c r="Q54" s="184" t="str">
        <f>IFERROR(INDEX(Tabelas!$E$5:$I$9, MATCH(Tabela13[[#This Row],[PROBA-BILIDA-DE ]], Tabelas!$D$5:$D$9, 0), MATCH(Tabela13[[#This Row],[SEVERI-DADE ]], Tabelas!$E$4:$I$4, 0)),"")</f>
        <v/>
      </c>
      <c r="R54" s="96"/>
    </row>
    <row r="55" spans="2:18" s="179" customFormat="1" ht="15" thickBot="1" x14ac:dyDescent="0.3">
      <c r="B55" s="97"/>
      <c r="C55" s="95"/>
      <c r="D55" s="95"/>
      <c r="E55" s="95"/>
      <c r="F55" s="96"/>
      <c r="G55" s="97"/>
      <c r="H55" s="95"/>
      <c r="I55" s="185" t="str">
        <f>IFERROR(INDEX(Tabelas!$E$5:$I$9, MATCH(Tabela13[[#This Row],[PROBA-BILIDA-DE]], Tabelas!$D$5:$D$9, 0), MATCH(Tabela13[[#This Row],[SEVERI-DADE]], Tabelas!$E$4:$I$4, 0)),"")</f>
        <v/>
      </c>
      <c r="J55" s="97"/>
      <c r="K55" s="95"/>
      <c r="L55" s="95"/>
      <c r="M55" s="95"/>
      <c r="N55" s="144"/>
      <c r="O55" s="97"/>
      <c r="P55" s="95"/>
      <c r="Q55" s="184" t="str">
        <f>IFERROR(INDEX(Tabelas!$E$5:$I$9, MATCH(Tabela13[[#This Row],[PROBA-BILIDA-DE ]], Tabelas!$D$5:$D$9, 0), MATCH(Tabela13[[#This Row],[SEVERI-DADE ]], Tabelas!$E$4:$I$4, 0)),"")</f>
        <v/>
      </c>
      <c r="R55" s="96"/>
    </row>
    <row r="56" spans="2:18" s="179" customFormat="1" ht="15" thickBot="1" x14ac:dyDescent="0.3">
      <c r="B56" s="97"/>
      <c r="C56" s="95"/>
      <c r="D56" s="95"/>
      <c r="E56" s="95"/>
      <c r="F56" s="96"/>
      <c r="G56" s="97"/>
      <c r="H56" s="95"/>
      <c r="I56" s="185" t="str">
        <f>IFERROR(INDEX(Tabelas!$E$5:$I$9, MATCH(Tabela13[[#This Row],[PROBA-BILIDA-DE]], Tabelas!$D$5:$D$9, 0), MATCH(Tabela13[[#This Row],[SEVERI-DADE]], Tabelas!$E$4:$I$4, 0)),"")</f>
        <v/>
      </c>
      <c r="J56" s="97"/>
      <c r="K56" s="95"/>
      <c r="L56" s="95"/>
      <c r="M56" s="95"/>
      <c r="N56" s="144"/>
      <c r="O56" s="97"/>
      <c r="P56" s="95"/>
      <c r="Q56" s="184" t="str">
        <f>IFERROR(INDEX(Tabelas!$E$5:$I$9, MATCH(Tabela13[[#This Row],[PROBA-BILIDA-DE ]], Tabelas!$D$5:$D$9, 0), MATCH(Tabela13[[#This Row],[SEVERI-DADE ]], Tabelas!$E$4:$I$4, 0)),"")</f>
        <v/>
      </c>
      <c r="R56" s="96"/>
    </row>
    <row r="57" spans="2:18" s="179" customFormat="1" ht="15" thickBot="1" x14ac:dyDescent="0.3">
      <c r="B57" s="97"/>
      <c r="C57" s="95"/>
      <c r="D57" s="95"/>
      <c r="E57" s="95"/>
      <c r="F57" s="96"/>
      <c r="G57" s="97"/>
      <c r="H57" s="95"/>
      <c r="I57" s="185" t="str">
        <f>IFERROR(INDEX(Tabelas!$E$5:$I$9, MATCH(Tabela13[[#This Row],[PROBA-BILIDA-DE]], Tabelas!$D$5:$D$9, 0), MATCH(Tabela13[[#This Row],[SEVERI-DADE]], Tabelas!$E$4:$I$4, 0)),"")</f>
        <v/>
      </c>
      <c r="J57" s="97"/>
      <c r="K57" s="95"/>
      <c r="L57" s="95"/>
      <c r="M57" s="95"/>
      <c r="N57" s="144"/>
      <c r="O57" s="97"/>
      <c r="P57" s="95"/>
      <c r="Q57" s="184" t="str">
        <f>IFERROR(INDEX(Tabelas!$E$5:$I$9, MATCH(Tabela13[[#This Row],[PROBA-BILIDA-DE ]], Tabelas!$D$5:$D$9, 0), MATCH(Tabela13[[#This Row],[SEVERI-DADE ]], Tabelas!$E$4:$I$4, 0)),"")</f>
        <v/>
      </c>
      <c r="R57" s="96"/>
    </row>
    <row r="58" spans="2:18" s="179" customFormat="1" ht="15" thickBot="1" x14ac:dyDescent="0.3">
      <c r="B58" s="97"/>
      <c r="C58" s="95"/>
      <c r="D58" s="95"/>
      <c r="E58" s="95"/>
      <c r="F58" s="96"/>
      <c r="G58" s="97"/>
      <c r="H58" s="95"/>
      <c r="I58" s="185" t="str">
        <f>IFERROR(INDEX(Tabelas!$E$5:$I$9, MATCH(Tabela13[[#This Row],[PROBA-BILIDA-DE]], Tabelas!$D$5:$D$9, 0), MATCH(Tabela13[[#This Row],[SEVERI-DADE]], Tabelas!$E$4:$I$4, 0)),"")</f>
        <v/>
      </c>
      <c r="J58" s="97"/>
      <c r="K58" s="95"/>
      <c r="L58" s="95"/>
      <c r="M58" s="95"/>
      <c r="N58" s="144"/>
      <c r="O58" s="97"/>
      <c r="P58" s="95"/>
      <c r="Q58" s="184" t="str">
        <f>IFERROR(INDEX(Tabelas!$E$5:$I$9, MATCH(Tabela13[[#This Row],[PROBA-BILIDA-DE ]], Tabelas!$D$5:$D$9, 0), MATCH(Tabela13[[#This Row],[SEVERI-DADE ]], Tabelas!$E$4:$I$4, 0)),"")</f>
        <v/>
      </c>
      <c r="R58" s="96"/>
    </row>
    <row r="59" spans="2:18" s="179" customFormat="1" ht="15" thickBot="1" x14ac:dyDescent="0.3">
      <c r="B59" s="97"/>
      <c r="C59" s="95"/>
      <c r="D59" s="95"/>
      <c r="E59" s="95"/>
      <c r="F59" s="96"/>
      <c r="G59" s="97"/>
      <c r="H59" s="95"/>
      <c r="I59" s="185" t="str">
        <f>IFERROR(INDEX(Tabelas!$E$5:$I$9, MATCH(Tabela13[[#This Row],[PROBA-BILIDA-DE]], Tabelas!$D$5:$D$9, 0), MATCH(Tabela13[[#This Row],[SEVERI-DADE]], Tabelas!$E$4:$I$4, 0)),"")</f>
        <v/>
      </c>
      <c r="J59" s="97"/>
      <c r="K59" s="95"/>
      <c r="L59" s="95"/>
      <c r="M59" s="95"/>
      <c r="N59" s="144"/>
      <c r="O59" s="97"/>
      <c r="P59" s="95"/>
      <c r="Q59" s="184" t="str">
        <f>IFERROR(INDEX(Tabelas!$E$5:$I$9, MATCH(Tabela13[[#This Row],[PROBA-BILIDA-DE ]], Tabelas!$D$5:$D$9, 0), MATCH(Tabela13[[#This Row],[SEVERI-DADE ]], Tabelas!$E$4:$I$4, 0)),"")</f>
        <v/>
      </c>
      <c r="R59" s="96"/>
    </row>
    <row r="60" spans="2:18" s="179" customFormat="1" ht="15" thickBot="1" x14ac:dyDescent="0.3">
      <c r="B60" s="97"/>
      <c r="C60" s="95"/>
      <c r="D60" s="95"/>
      <c r="E60" s="95"/>
      <c r="F60" s="96"/>
      <c r="G60" s="97"/>
      <c r="H60" s="95"/>
      <c r="I60" s="185" t="str">
        <f>IFERROR(INDEX(Tabelas!$E$5:$I$9, MATCH(Tabela13[[#This Row],[PROBA-BILIDA-DE]], Tabelas!$D$5:$D$9, 0), MATCH(Tabela13[[#This Row],[SEVERI-DADE]], Tabelas!$E$4:$I$4, 0)),"")</f>
        <v/>
      </c>
      <c r="J60" s="97"/>
      <c r="K60" s="95"/>
      <c r="L60" s="95"/>
      <c r="M60" s="95"/>
      <c r="N60" s="144"/>
      <c r="O60" s="97"/>
      <c r="P60" s="95"/>
      <c r="Q60" s="184" t="str">
        <f>IFERROR(INDEX(Tabelas!$E$5:$I$9, MATCH(Tabela13[[#This Row],[PROBA-BILIDA-DE ]], Tabelas!$D$5:$D$9, 0), MATCH(Tabela13[[#This Row],[SEVERI-DADE ]], Tabelas!$E$4:$I$4, 0)),"")</f>
        <v/>
      </c>
      <c r="R60" s="96"/>
    </row>
    <row r="61" spans="2:18" s="179" customFormat="1" ht="15" thickBot="1" x14ac:dyDescent="0.3">
      <c r="B61" s="97"/>
      <c r="C61" s="95"/>
      <c r="D61" s="95"/>
      <c r="E61" s="95"/>
      <c r="F61" s="96"/>
      <c r="G61" s="97"/>
      <c r="H61" s="95"/>
      <c r="I61" s="185" t="str">
        <f>IFERROR(INDEX(Tabelas!$E$5:$I$9, MATCH(Tabela13[[#This Row],[PROBA-BILIDA-DE]], Tabelas!$D$5:$D$9, 0), MATCH(Tabela13[[#This Row],[SEVERI-DADE]], Tabelas!$E$4:$I$4, 0)),"")</f>
        <v/>
      </c>
      <c r="J61" s="97"/>
      <c r="K61" s="95"/>
      <c r="L61" s="95"/>
      <c r="M61" s="95"/>
      <c r="N61" s="144"/>
      <c r="O61" s="97"/>
      <c r="P61" s="95"/>
      <c r="Q61" s="184" t="str">
        <f>IFERROR(INDEX(Tabelas!$E$5:$I$9, MATCH(Tabela13[[#This Row],[PROBA-BILIDA-DE ]], Tabelas!$D$5:$D$9, 0), MATCH(Tabela13[[#This Row],[SEVERI-DADE ]], Tabelas!$E$4:$I$4, 0)),"")</f>
        <v/>
      </c>
      <c r="R61" s="96"/>
    </row>
    <row r="62" spans="2:18" s="179" customFormat="1" ht="15" thickBot="1" x14ac:dyDescent="0.3">
      <c r="B62" s="97"/>
      <c r="C62" s="95"/>
      <c r="D62" s="95"/>
      <c r="E62" s="95"/>
      <c r="F62" s="96"/>
      <c r="G62" s="97"/>
      <c r="H62" s="95"/>
      <c r="I62" s="185" t="str">
        <f>IFERROR(INDEX(Tabelas!$E$5:$I$9, MATCH(Tabela13[[#This Row],[PROBA-BILIDA-DE]], Tabelas!$D$5:$D$9, 0), MATCH(Tabela13[[#This Row],[SEVERI-DADE]], Tabelas!$E$4:$I$4, 0)),"")</f>
        <v/>
      </c>
      <c r="J62" s="97"/>
      <c r="K62" s="95"/>
      <c r="L62" s="95"/>
      <c r="M62" s="95"/>
      <c r="N62" s="144"/>
      <c r="O62" s="97"/>
      <c r="P62" s="95"/>
      <c r="Q62" s="184" t="str">
        <f>IFERROR(INDEX(Tabelas!$E$5:$I$9, MATCH(Tabela13[[#This Row],[PROBA-BILIDA-DE ]], Tabelas!$D$5:$D$9, 0), MATCH(Tabela13[[#This Row],[SEVERI-DADE ]], Tabelas!$E$4:$I$4, 0)),"")</f>
        <v/>
      </c>
      <c r="R62" s="96"/>
    </row>
    <row r="63" spans="2:18" s="179" customFormat="1" ht="15" thickBot="1" x14ac:dyDescent="0.3">
      <c r="B63" s="97"/>
      <c r="C63" s="95"/>
      <c r="D63" s="95"/>
      <c r="E63" s="95"/>
      <c r="F63" s="96"/>
      <c r="G63" s="97"/>
      <c r="H63" s="95"/>
      <c r="I63" s="185" t="str">
        <f>IFERROR(INDEX(Tabelas!$E$5:$I$9, MATCH(Tabela13[[#This Row],[PROBA-BILIDA-DE]], Tabelas!$D$5:$D$9, 0), MATCH(Tabela13[[#This Row],[SEVERI-DADE]], Tabelas!$E$4:$I$4, 0)),"")</f>
        <v/>
      </c>
      <c r="J63" s="97"/>
      <c r="K63" s="95"/>
      <c r="L63" s="95"/>
      <c r="M63" s="95"/>
      <c r="N63" s="144"/>
      <c r="O63" s="97"/>
      <c r="P63" s="95"/>
      <c r="Q63" s="184" t="str">
        <f>IFERROR(INDEX(Tabelas!$E$5:$I$9, MATCH(Tabela13[[#This Row],[PROBA-BILIDA-DE ]], Tabelas!$D$5:$D$9, 0), MATCH(Tabela13[[#This Row],[SEVERI-DADE ]], Tabelas!$E$4:$I$4, 0)),"")</f>
        <v/>
      </c>
      <c r="R63" s="96"/>
    </row>
    <row r="64" spans="2:18" s="179" customFormat="1" ht="15" thickBot="1" x14ac:dyDescent="0.3">
      <c r="B64" s="97"/>
      <c r="C64" s="95"/>
      <c r="D64" s="95"/>
      <c r="E64" s="95"/>
      <c r="F64" s="96"/>
      <c r="G64" s="97"/>
      <c r="H64" s="95"/>
      <c r="I64" s="185" t="str">
        <f>IFERROR(INDEX(Tabelas!$E$5:$I$9, MATCH(Tabela13[[#This Row],[PROBA-BILIDA-DE]], Tabelas!$D$5:$D$9, 0), MATCH(Tabela13[[#This Row],[SEVERI-DADE]], Tabelas!$E$4:$I$4, 0)),"")</f>
        <v/>
      </c>
      <c r="J64" s="97"/>
      <c r="K64" s="95"/>
      <c r="L64" s="95"/>
      <c r="M64" s="95"/>
      <c r="N64" s="144"/>
      <c r="O64" s="97"/>
      <c r="P64" s="95"/>
      <c r="Q64" s="184" t="str">
        <f>IFERROR(INDEX(Tabelas!$E$5:$I$9, MATCH(Tabela13[[#This Row],[PROBA-BILIDA-DE ]], Tabelas!$D$5:$D$9, 0), MATCH(Tabela13[[#This Row],[SEVERI-DADE ]], Tabelas!$E$4:$I$4, 0)),"")</f>
        <v/>
      </c>
      <c r="R64" s="96"/>
    </row>
    <row r="65" spans="2:18" s="179" customFormat="1" ht="15" thickBot="1" x14ac:dyDescent="0.3">
      <c r="B65" s="97"/>
      <c r="C65" s="95"/>
      <c r="D65" s="95"/>
      <c r="E65" s="95"/>
      <c r="F65" s="96"/>
      <c r="G65" s="97"/>
      <c r="H65" s="95"/>
      <c r="I65" s="185" t="str">
        <f>IFERROR(INDEX(Tabelas!$E$5:$I$9, MATCH(Tabela13[[#This Row],[PROBA-BILIDA-DE]], Tabelas!$D$5:$D$9, 0), MATCH(Tabela13[[#This Row],[SEVERI-DADE]], Tabelas!$E$4:$I$4, 0)),"")</f>
        <v/>
      </c>
      <c r="J65" s="97"/>
      <c r="K65" s="95"/>
      <c r="L65" s="95"/>
      <c r="M65" s="95"/>
      <c r="N65" s="144"/>
      <c r="O65" s="97"/>
      <c r="P65" s="95"/>
      <c r="Q65" s="184" t="str">
        <f>IFERROR(INDEX(Tabelas!$E$5:$I$9, MATCH(Tabela13[[#This Row],[PROBA-BILIDA-DE ]], Tabelas!$D$5:$D$9, 0), MATCH(Tabela13[[#This Row],[SEVERI-DADE ]], Tabelas!$E$4:$I$4, 0)),"")</f>
        <v/>
      </c>
      <c r="R65" s="96"/>
    </row>
    <row r="66" spans="2:18" s="179" customFormat="1" ht="15" thickBot="1" x14ac:dyDescent="0.3">
      <c r="B66" s="97"/>
      <c r="C66" s="95"/>
      <c r="D66" s="95"/>
      <c r="E66" s="95"/>
      <c r="F66" s="96"/>
      <c r="G66" s="97"/>
      <c r="H66" s="95"/>
      <c r="I66" s="185" t="str">
        <f>IFERROR(INDEX(Tabelas!$E$5:$I$9, MATCH(Tabela13[[#This Row],[PROBA-BILIDA-DE]], Tabelas!$D$5:$D$9, 0), MATCH(Tabela13[[#This Row],[SEVERI-DADE]], Tabelas!$E$4:$I$4, 0)),"")</f>
        <v/>
      </c>
      <c r="J66" s="97"/>
      <c r="K66" s="95"/>
      <c r="L66" s="95"/>
      <c r="M66" s="95"/>
      <c r="N66" s="144"/>
      <c r="O66" s="97"/>
      <c r="P66" s="95"/>
      <c r="Q66" s="184" t="str">
        <f>IFERROR(INDEX(Tabelas!$E$5:$I$9, MATCH(Tabela13[[#This Row],[PROBA-BILIDA-DE ]], Tabelas!$D$5:$D$9, 0), MATCH(Tabela13[[#This Row],[SEVERI-DADE ]], Tabelas!$E$4:$I$4, 0)),"")</f>
        <v/>
      </c>
      <c r="R66" s="96"/>
    </row>
    <row r="67" spans="2:18" s="179" customFormat="1" ht="15" thickBot="1" x14ac:dyDescent="0.3">
      <c r="B67" s="97"/>
      <c r="C67" s="95"/>
      <c r="D67" s="95"/>
      <c r="E67" s="95"/>
      <c r="F67" s="96"/>
      <c r="G67" s="97"/>
      <c r="H67" s="95"/>
      <c r="I67" s="185" t="str">
        <f>IFERROR(INDEX(Tabelas!$E$5:$I$9, MATCH(Tabela13[[#This Row],[PROBA-BILIDA-DE]], Tabelas!$D$5:$D$9, 0), MATCH(Tabela13[[#This Row],[SEVERI-DADE]], Tabelas!$E$4:$I$4, 0)),"")</f>
        <v/>
      </c>
      <c r="J67" s="97"/>
      <c r="K67" s="95"/>
      <c r="L67" s="95"/>
      <c r="M67" s="95"/>
      <c r="N67" s="144"/>
      <c r="O67" s="97"/>
      <c r="P67" s="95"/>
      <c r="Q67" s="184" t="str">
        <f>IFERROR(INDEX(Tabelas!$E$5:$I$9, MATCH(Tabela13[[#This Row],[PROBA-BILIDA-DE ]], Tabelas!$D$5:$D$9, 0), MATCH(Tabela13[[#This Row],[SEVERI-DADE ]], Tabelas!$E$4:$I$4, 0)),"")</f>
        <v/>
      </c>
      <c r="R67" s="96"/>
    </row>
    <row r="68" spans="2:18" s="179" customFormat="1" ht="15" thickBot="1" x14ac:dyDescent="0.3">
      <c r="B68" s="97"/>
      <c r="C68" s="95"/>
      <c r="D68" s="95"/>
      <c r="E68" s="95"/>
      <c r="F68" s="96"/>
      <c r="G68" s="97"/>
      <c r="H68" s="95"/>
      <c r="I68" s="185" t="str">
        <f>IFERROR(INDEX(Tabelas!$E$5:$I$9, MATCH(Tabela13[[#This Row],[PROBA-BILIDA-DE]], Tabelas!$D$5:$D$9, 0), MATCH(Tabela13[[#This Row],[SEVERI-DADE]], Tabelas!$E$4:$I$4, 0)),"")</f>
        <v/>
      </c>
      <c r="J68" s="97"/>
      <c r="K68" s="95"/>
      <c r="L68" s="95"/>
      <c r="M68" s="95"/>
      <c r="N68" s="144"/>
      <c r="O68" s="97"/>
      <c r="P68" s="95"/>
      <c r="Q68" s="184" t="str">
        <f>IFERROR(INDEX(Tabelas!$E$5:$I$9, MATCH(Tabela13[[#This Row],[PROBA-BILIDA-DE ]], Tabelas!$D$5:$D$9, 0), MATCH(Tabela13[[#This Row],[SEVERI-DADE ]], Tabelas!$E$4:$I$4, 0)),"")</f>
        <v/>
      </c>
      <c r="R68" s="96"/>
    </row>
    <row r="69" spans="2:18" s="179" customFormat="1" ht="15" thickBot="1" x14ac:dyDescent="0.3">
      <c r="B69" s="97"/>
      <c r="C69" s="95"/>
      <c r="D69" s="95"/>
      <c r="E69" s="95"/>
      <c r="F69" s="96"/>
      <c r="G69" s="97"/>
      <c r="H69" s="95"/>
      <c r="I69" s="185" t="str">
        <f>IFERROR(INDEX(Tabelas!$E$5:$I$9, MATCH(Tabela13[[#This Row],[PROBA-BILIDA-DE]], Tabelas!$D$5:$D$9, 0), MATCH(Tabela13[[#This Row],[SEVERI-DADE]], Tabelas!$E$4:$I$4, 0)),"")</f>
        <v/>
      </c>
      <c r="J69" s="97"/>
      <c r="K69" s="95"/>
      <c r="L69" s="95"/>
      <c r="M69" s="95"/>
      <c r="N69" s="144"/>
      <c r="O69" s="97"/>
      <c r="P69" s="95"/>
      <c r="Q69" s="184" t="str">
        <f>IFERROR(INDEX(Tabelas!$E$5:$I$9, MATCH(Tabela13[[#This Row],[PROBA-BILIDA-DE ]], Tabelas!$D$5:$D$9, 0), MATCH(Tabela13[[#This Row],[SEVERI-DADE ]], Tabelas!$E$4:$I$4, 0)),"")</f>
        <v/>
      </c>
      <c r="R69" s="96"/>
    </row>
    <row r="70" spans="2:18" s="179" customFormat="1" ht="15" thickBot="1" x14ac:dyDescent="0.3">
      <c r="B70" s="97"/>
      <c r="C70" s="95"/>
      <c r="D70" s="95"/>
      <c r="E70" s="95"/>
      <c r="F70" s="96"/>
      <c r="G70" s="97"/>
      <c r="H70" s="95"/>
      <c r="I70" s="185" t="str">
        <f>IFERROR(INDEX(Tabelas!$E$5:$I$9, MATCH(Tabela13[[#This Row],[PROBA-BILIDA-DE]], Tabelas!$D$5:$D$9, 0), MATCH(Tabela13[[#This Row],[SEVERI-DADE]], Tabelas!$E$4:$I$4, 0)),"")</f>
        <v/>
      </c>
      <c r="J70" s="97"/>
      <c r="K70" s="95"/>
      <c r="L70" s="95"/>
      <c r="M70" s="95"/>
      <c r="N70" s="144"/>
      <c r="O70" s="97"/>
      <c r="P70" s="95"/>
      <c r="Q70" s="184" t="str">
        <f>IFERROR(INDEX(Tabelas!$E$5:$I$9, MATCH(Tabela13[[#This Row],[PROBA-BILIDA-DE ]], Tabelas!$D$5:$D$9, 0), MATCH(Tabela13[[#This Row],[SEVERI-DADE ]], Tabelas!$E$4:$I$4, 0)),"")</f>
        <v/>
      </c>
      <c r="R70" s="96"/>
    </row>
    <row r="71" spans="2:18" s="179" customFormat="1" ht="15" thickBot="1" x14ac:dyDescent="0.3">
      <c r="B71" s="97"/>
      <c r="C71" s="95"/>
      <c r="D71" s="95"/>
      <c r="E71" s="95"/>
      <c r="F71" s="96"/>
      <c r="G71" s="97"/>
      <c r="H71" s="95"/>
      <c r="I71" s="185" t="str">
        <f>IFERROR(INDEX(Tabelas!$E$5:$I$9, MATCH(Tabela13[[#This Row],[PROBA-BILIDA-DE]], Tabelas!$D$5:$D$9, 0), MATCH(Tabela13[[#This Row],[SEVERI-DADE]], Tabelas!$E$4:$I$4, 0)),"")</f>
        <v/>
      </c>
      <c r="J71" s="97"/>
      <c r="K71" s="95"/>
      <c r="L71" s="95"/>
      <c r="M71" s="95"/>
      <c r="N71" s="144"/>
      <c r="O71" s="97"/>
      <c r="P71" s="95"/>
      <c r="Q71" s="184" t="str">
        <f>IFERROR(INDEX(Tabelas!$E$5:$I$9, MATCH(Tabela13[[#This Row],[PROBA-BILIDA-DE ]], Tabelas!$D$5:$D$9, 0), MATCH(Tabela13[[#This Row],[SEVERI-DADE ]], Tabelas!$E$4:$I$4, 0)),"")</f>
        <v/>
      </c>
      <c r="R71" s="96"/>
    </row>
    <row r="72" spans="2:18" s="179" customFormat="1" ht="15" thickBot="1" x14ac:dyDescent="0.3">
      <c r="B72" s="97"/>
      <c r="C72" s="95"/>
      <c r="D72" s="95"/>
      <c r="E72" s="95"/>
      <c r="F72" s="96"/>
      <c r="G72" s="97"/>
      <c r="H72" s="95"/>
      <c r="I72" s="185" t="str">
        <f>IFERROR(INDEX(Tabelas!$E$5:$I$9, MATCH(Tabela13[[#This Row],[PROBA-BILIDA-DE]], Tabelas!$D$5:$D$9, 0), MATCH(Tabela13[[#This Row],[SEVERI-DADE]], Tabelas!$E$4:$I$4, 0)),"")</f>
        <v/>
      </c>
      <c r="J72" s="97"/>
      <c r="K72" s="95"/>
      <c r="L72" s="95"/>
      <c r="M72" s="95"/>
      <c r="N72" s="144"/>
      <c r="O72" s="97"/>
      <c r="P72" s="95"/>
      <c r="Q72" s="184" t="str">
        <f>IFERROR(INDEX(Tabelas!$E$5:$I$9, MATCH(Tabela13[[#This Row],[PROBA-BILIDA-DE ]], Tabelas!$D$5:$D$9, 0), MATCH(Tabela13[[#This Row],[SEVERI-DADE ]], Tabelas!$E$4:$I$4, 0)),"")</f>
        <v/>
      </c>
      <c r="R72" s="96"/>
    </row>
    <row r="73" spans="2:18" ht="15" thickBot="1" x14ac:dyDescent="0.3">
      <c r="B73" s="95"/>
      <c r="C73" s="95"/>
      <c r="D73" s="95"/>
      <c r="E73" s="95"/>
      <c r="F73" s="96"/>
      <c r="G73" s="97"/>
      <c r="H73" s="95"/>
      <c r="I73" s="185" t="str">
        <f>IFERROR(INDEX(Tabelas!$E$5:$I$9, MATCH(Tabela13[[#This Row],[PROBA-BILIDA-DE]], Tabelas!$D$5:$D$9, 0), MATCH(Tabela13[[#This Row],[SEVERI-DADE]], Tabelas!$E$4:$I$4, 0)),"")</f>
        <v/>
      </c>
      <c r="J73" s="97"/>
      <c r="K73" s="95"/>
      <c r="L73" s="95"/>
      <c r="M73" s="95"/>
      <c r="N73" s="96"/>
      <c r="O73" s="97"/>
      <c r="P73" s="95"/>
      <c r="Q73" s="184" t="str">
        <f>IFERROR(INDEX(Tabelas!$E$5:$I$9, MATCH(Tabela13[[#This Row],[PROBA-BILIDA-DE ]], Tabelas!$D$5:$D$9, 0), MATCH(Tabela13[[#This Row],[SEVERI-DADE ]], Tabelas!$E$4:$I$4, 0)),"")</f>
        <v/>
      </c>
      <c r="R73" s="96"/>
    </row>
    <row r="74" spans="2:18" ht="15" thickBot="1" x14ac:dyDescent="0.3">
      <c r="B74" s="95"/>
      <c r="C74" s="95"/>
      <c r="D74" s="95"/>
      <c r="E74" s="95"/>
      <c r="F74" s="96"/>
      <c r="G74" s="97"/>
      <c r="H74" s="95"/>
      <c r="I74" s="185" t="str">
        <f>IFERROR(INDEX(Tabelas!$E$5:$I$9, MATCH(Tabela13[[#This Row],[PROBA-BILIDA-DE]], Tabelas!$D$5:$D$9, 0), MATCH(Tabela13[[#This Row],[SEVERI-DADE]], Tabelas!$E$4:$I$4, 0)),"")</f>
        <v/>
      </c>
      <c r="J74" s="97"/>
      <c r="K74" s="95"/>
      <c r="L74" s="95"/>
      <c r="M74" s="95"/>
      <c r="N74" s="96"/>
      <c r="O74" s="97"/>
      <c r="P74" s="95"/>
      <c r="Q74" s="184" t="str">
        <f>IFERROR(INDEX(Tabelas!$E$5:$I$9, MATCH(Tabela13[[#This Row],[PROBA-BILIDA-DE ]], Tabelas!$D$5:$D$9, 0), MATCH(Tabela13[[#This Row],[SEVERI-DADE ]], Tabelas!$E$4:$I$4, 0)),"")</f>
        <v/>
      </c>
      <c r="R74" s="96"/>
    </row>
    <row r="75" spans="2:18" ht="15" thickBot="1" x14ac:dyDescent="0.3">
      <c r="B75" s="95"/>
      <c r="C75" s="95"/>
      <c r="D75" s="95"/>
      <c r="E75" s="95"/>
      <c r="F75" s="96"/>
      <c r="G75" s="97"/>
      <c r="H75" s="95"/>
      <c r="I75" s="185" t="str">
        <f>IFERROR(INDEX(Tabelas!$E$5:$I$9, MATCH(Tabela13[[#This Row],[PROBA-BILIDA-DE]], Tabelas!$D$5:$D$9, 0), MATCH(Tabela13[[#This Row],[SEVERI-DADE]], Tabelas!$E$4:$I$4, 0)),"")</f>
        <v/>
      </c>
      <c r="J75" s="97"/>
      <c r="K75" s="95"/>
      <c r="L75" s="95"/>
      <c r="M75" s="95"/>
      <c r="N75" s="96"/>
      <c r="O75" s="97"/>
      <c r="P75" s="95"/>
      <c r="Q75" s="184" t="str">
        <f>IFERROR(INDEX(Tabelas!$E$5:$I$9, MATCH(Tabela13[[#This Row],[PROBA-BILIDA-DE ]], Tabelas!$D$5:$D$9, 0), MATCH(Tabela13[[#This Row],[SEVERI-DADE ]], Tabelas!$E$4:$I$4, 0)),"")</f>
        <v/>
      </c>
      <c r="R75" s="96"/>
    </row>
    <row r="76" spans="2:18" ht="15" thickBot="1" x14ac:dyDescent="0.3">
      <c r="B76" s="95"/>
      <c r="C76" s="95"/>
      <c r="D76" s="95"/>
      <c r="E76" s="95"/>
      <c r="F76" s="96"/>
      <c r="G76" s="97"/>
      <c r="H76" s="95"/>
      <c r="I76" s="185" t="str">
        <f>IFERROR(INDEX(Tabelas!$E$5:$I$9, MATCH(Tabela13[[#This Row],[PROBA-BILIDA-DE]], Tabelas!$D$5:$D$9, 0), MATCH(Tabela13[[#This Row],[SEVERI-DADE]], Tabelas!$E$4:$I$4, 0)),"")</f>
        <v/>
      </c>
      <c r="J76" s="97"/>
      <c r="K76" s="95"/>
      <c r="L76" s="95"/>
      <c r="M76" s="95"/>
      <c r="N76" s="96"/>
      <c r="O76" s="97"/>
      <c r="P76" s="95"/>
      <c r="Q76" s="184" t="str">
        <f>IFERROR(INDEX(Tabelas!$E$5:$I$9, MATCH(Tabela13[[#This Row],[PROBA-BILIDA-DE ]], Tabelas!$D$5:$D$9, 0), MATCH(Tabela13[[#This Row],[SEVERI-DADE ]], Tabelas!$E$4:$I$4, 0)),"")</f>
        <v/>
      </c>
      <c r="R76" s="96"/>
    </row>
    <row r="77" spans="2:18" ht="15" thickBot="1" x14ac:dyDescent="0.3">
      <c r="B77" s="95"/>
      <c r="C77" s="95"/>
      <c r="D77" s="95"/>
      <c r="E77" s="95"/>
      <c r="F77" s="96"/>
      <c r="G77" s="97"/>
      <c r="H77" s="95"/>
      <c r="I77" s="185" t="str">
        <f>IFERROR(INDEX(Tabelas!$E$5:$I$9, MATCH(Tabela13[[#This Row],[PROBA-BILIDA-DE]], Tabelas!$D$5:$D$9, 0), MATCH(Tabela13[[#This Row],[SEVERI-DADE]], Tabelas!$E$4:$I$4, 0)),"")</f>
        <v/>
      </c>
      <c r="J77" s="97"/>
      <c r="K77" s="95"/>
      <c r="L77" s="95"/>
      <c r="M77" s="95"/>
      <c r="N77" s="96"/>
      <c r="O77" s="97"/>
      <c r="P77" s="95"/>
      <c r="Q77" s="184" t="str">
        <f>IFERROR(INDEX(Tabelas!$E$5:$I$9, MATCH(Tabela13[[#This Row],[PROBA-BILIDA-DE ]], Tabelas!$D$5:$D$9, 0), MATCH(Tabela13[[#This Row],[SEVERI-DADE ]], Tabelas!$E$4:$I$4, 0)),"")</f>
        <v/>
      </c>
      <c r="R77" s="96"/>
    </row>
    <row r="78" spans="2:18" ht="15" thickBot="1" x14ac:dyDescent="0.3">
      <c r="B78" s="95"/>
      <c r="C78" s="95"/>
      <c r="D78" s="95"/>
      <c r="E78" s="95"/>
      <c r="F78" s="96"/>
      <c r="G78" s="97"/>
      <c r="H78" s="95"/>
      <c r="I78" s="185" t="str">
        <f>IFERROR(INDEX(Tabelas!$E$5:$I$9, MATCH(Tabela13[[#This Row],[PROBA-BILIDA-DE]], Tabelas!$D$5:$D$9, 0), MATCH(Tabela13[[#This Row],[SEVERI-DADE]], Tabelas!$E$4:$I$4, 0)),"")</f>
        <v/>
      </c>
      <c r="J78" s="97"/>
      <c r="K78" s="95"/>
      <c r="L78" s="95"/>
      <c r="M78" s="95"/>
      <c r="N78" s="96"/>
      <c r="O78" s="97"/>
      <c r="P78" s="95"/>
      <c r="Q78" s="184" t="str">
        <f>IFERROR(INDEX(Tabelas!$E$5:$I$9, MATCH(Tabela13[[#This Row],[PROBA-BILIDA-DE ]], Tabelas!$D$5:$D$9, 0), MATCH(Tabela13[[#This Row],[SEVERI-DADE ]], Tabelas!$E$4:$I$4, 0)),"")</f>
        <v/>
      </c>
      <c r="R78" s="96"/>
    </row>
    <row r="79" spans="2:18" ht="15" thickBot="1" x14ac:dyDescent="0.3">
      <c r="B79" s="95"/>
      <c r="C79" s="95"/>
      <c r="D79" s="95"/>
      <c r="E79" s="95"/>
      <c r="F79" s="96"/>
      <c r="G79" s="97"/>
      <c r="H79" s="95"/>
      <c r="I79" s="185" t="str">
        <f>IFERROR(INDEX(Tabelas!$E$5:$I$9, MATCH(Tabela13[[#This Row],[PROBA-BILIDA-DE]], Tabelas!$D$5:$D$9, 0), MATCH(Tabela13[[#This Row],[SEVERI-DADE]], Tabelas!$E$4:$I$4, 0)),"")</f>
        <v/>
      </c>
      <c r="J79" s="97"/>
      <c r="K79" s="95"/>
      <c r="L79" s="95"/>
      <c r="M79" s="95"/>
      <c r="N79" s="96"/>
      <c r="O79" s="97"/>
      <c r="P79" s="95"/>
      <c r="Q79" s="184" t="str">
        <f>IFERROR(INDEX(Tabelas!$E$5:$I$9, MATCH(Tabela13[[#This Row],[PROBA-BILIDA-DE ]], Tabelas!$D$5:$D$9, 0), MATCH(Tabela13[[#This Row],[SEVERI-DADE ]], Tabelas!$E$4:$I$4, 0)),"")</f>
        <v/>
      </c>
      <c r="R79" s="95"/>
    </row>
    <row r="80" spans="2:18" ht="15" thickBot="1" x14ac:dyDescent="0.3">
      <c r="B80" s="95"/>
      <c r="C80" s="95"/>
      <c r="D80" s="95"/>
      <c r="E80" s="95"/>
      <c r="F80" s="96"/>
      <c r="G80" s="97"/>
      <c r="H80" s="95"/>
      <c r="I80" s="185" t="str">
        <f>IFERROR(INDEX(Tabelas!$E$5:$I$9, MATCH(Tabela13[[#This Row],[PROBA-BILIDA-DE]], Tabelas!$D$5:$D$9, 0), MATCH(Tabela13[[#This Row],[SEVERI-DADE]], Tabelas!$E$4:$I$4, 0)),"")</f>
        <v/>
      </c>
      <c r="J80" s="97"/>
      <c r="K80" s="95"/>
      <c r="L80" s="95"/>
      <c r="M80" s="95"/>
      <c r="N80" s="96"/>
      <c r="O80" s="97"/>
      <c r="P80" s="95"/>
      <c r="Q80" s="184" t="str">
        <f>IFERROR(INDEX(Tabelas!$E$5:$I$9, MATCH(Tabela13[[#This Row],[PROBA-BILIDA-DE ]], Tabelas!$D$5:$D$9, 0), MATCH(Tabela13[[#This Row],[SEVERI-DADE ]], Tabelas!$E$4:$I$4, 0)),"")</f>
        <v/>
      </c>
      <c r="R80" s="95"/>
    </row>
    <row r="81" spans="2:18" ht="15" thickBot="1" x14ac:dyDescent="0.3">
      <c r="B81" s="95"/>
      <c r="C81" s="95"/>
      <c r="D81" s="95"/>
      <c r="E81" s="95"/>
      <c r="F81" s="96"/>
      <c r="G81" s="97"/>
      <c r="H81" s="95"/>
      <c r="I81" s="185" t="str">
        <f>IFERROR(INDEX(Tabelas!$E$5:$I$9, MATCH(Tabela13[[#This Row],[PROBA-BILIDA-DE]], Tabelas!$D$5:$D$9, 0), MATCH(Tabela13[[#This Row],[SEVERI-DADE]], Tabelas!$E$4:$I$4, 0)),"")</f>
        <v/>
      </c>
      <c r="J81" s="97"/>
      <c r="K81" s="95"/>
      <c r="L81" s="95"/>
      <c r="M81" s="95"/>
      <c r="N81" s="96"/>
      <c r="O81" s="97"/>
      <c r="P81" s="95"/>
      <c r="Q81" s="184" t="str">
        <f>IFERROR(INDEX(Tabelas!$E$5:$I$9, MATCH(Tabela13[[#This Row],[PROBA-BILIDA-DE ]], Tabelas!$D$5:$D$9, 0), MATCH(Tabela13[[#This Row],[SEVERI-DADE ]], Tabelas!$E$4:$I$4, 0)),"")</f>
        <v/>
      </c>
      <c r="R81" s="96"/>
    </row>
    <row r="82" spans="2:18" ht="15" thickBot="1" x14ac:dyDescent="0.3">
      <c r="B82" s="95"/>
      <c r="C82" s="95"/>
      <c r="D82" s="95"/>
      <c r="E82" s="95"/>
      <c r="F82" s="96"/>
      <c r="G82" s="97"/>
      <c r="H82" s="95"/>
      <c r="I82" s="185" t="str">
        <f>IFERROR(INDEX(Tabelas!$E$5:$I$9, MATCH(Tabela13[[#This Row],[PROBA-BILIDA-DE]], Tabelas!$D$5:$D$9, 0), MATCH(Tabela13[[#This Row],[SEVERI-DADE]], Tabelas!$E$4:$I$4, 0)),"")</f>
        <v/>
      </c>
      <c r="J82" s="97"/>
      <c r="K82" s="95"/>
      <c r="L82" s="95"/>
      <c r="M82" s="98"/>
      <c r="N82" s="96"/>
      <c r="O82" s="97"/>
      <c r="P82" s="95"/>
      <c r="Q82" s="184" t="str">
        <f>IFERROR(INDEX(Tabelas!$E$5:$I$9, MATCH(Tabela13[[#This Row],[PROBA-BILIDA-DE ]], Tabelas!$D$5:$D$9, 0), MATCH(Tabela13[[#This Row],[SEVERI-DADE ]], Tabelas!$E$4:$I$4, 0)),"")</f>
        <v/>
      </c>
      <c r="R82" s="96"/>
    </row>
    <row r="83" spans="2:18" ht="15" thickBot="1" x14ac:dyDescent="0.3">
      <c r="B83" s="97"/>
      <c r="C83" s="95"/>
      <c r="D83" s="95"/>
      <c r="E83" s="95"/>
      <c r="F83" s="96"/>
      <c r="G83" s="97"/>
      <c r="H83" s="95"/>
      <c r="I83" s="185" t="str">
        <f>IFERROR(INDEX(Tabelas!$E$5:$I$9, MATCH(Tabela13[[#This Row],[PROBA-BILIDA-DE]], Tabelas!$D$5:$D$9, 0), MATCH(Tabela13[[#This Row],[SEVERI-DADE]], Tabelas!$E$4:$I$4, 0)),"")</f>
        <v/>
      </c>
      <c r="J83" s="97"/>
      <c r="K83" s="95"/>
      <c r="L83" s="95"/>
      <c r="M83" s="95"/>
      <c r="N83" s="96"/>
      <c r="O83" s="97"/>
      <c r="P83" s="95"/>
      <c r="Q83" s="184" t="str">
        <f>IFERROR(INDEX(Tabelas!$E$5:$I$9, MATCH(Tabela13[[#This Row],[PROBA-BILIDA-DE ]], Tabelas!$D$5:$D$9, 0), MATCH(Tabela13[[#This Row],[SEVERI-DADE ]], Tabelas!$E$4:$I$4, 0)),"")</f>
        <v/>
      </c>
      <c r="R83" s="96"/>
    </row>
    <row r="84" spans="2:18" x14ac:dyDescent="0.25">
      <c r="B84" s="182"/>
      <c r="C84" s="183"/>
      <c r="D84" s="182"/>
      <c r="E84" s="182"/>
      <c r="F84" s="183"/>
      <c r="G84" s="182"/>
      <c r="H84" s="182"/>
      <c r="I84" s="182"/>
      <c r="J84" s="182"/>
      <c r="K84" s="182"/>
      <c r="L84" s="182"/>
      <c r="M84" s="183"/>
      <c r="N84" s="182"/>
      <c r="O84" s="182"/>
      <c r="P84" s="182"/>
      <c r="Q84" s="182"/>
      <c r="R84" s="182"/>
    </row>
  </sheetData>
  <sheetProtection sheet="1" formatCells="0" formatColumns="0" formatRows="0" insertRows="0" sort="0"/>
  <mergeCells count="7">
    <mergeCell ref="B3:K4"/>
    <mergeCell ref="B2:K2"/>
    <mergeCell ref="O8:R8"/>
    <mergeCell ref="B6:R6"/>
    <mergeCell ref="B8:F8"/>
    <mergeCell ref="G8:I8"/>
    <mergeCell ref="J8:N8"/>
  </mergeCells>
  <conditionalFormatting sqref="I10:I83 Q10:Q83">
    <cfRule type="containsText" dxfId="12" priority="1" operator="containsText" text="MUITO ALTO">
      <formula>NOT(ISERROR(SEARCH("MUITO ALTO",I10)))</formula>
    </cfRule>
    <cfRule type="containsText" dxfId="9" priority="4" operator="containsText" text="BAIXO">
      <formula>NOT(ISERROR(SEARCH("BAIXO",I10)))</formula>
    </cfRule>
  </conditionalFormatting>
  <dataValidations count="13">
    <dataValidation type="list" allowBlank="1" showInputMessage="1" showErrorMessage="1" errorTitle="Entrada inválida" error="Selecione o nível de severidade." promptTitle="SEVERIDADE" prompt="1 Leve (L)_x000a_2 Baixa (B)_x000a_3 Média (M)_x000a_4 Alta (A)_x000a_5 Muito Alta (MA)" sqref="G10:G83 O10:O83" xr:uid="{719A4EDA-E534-4716-A43A-47A0323D1F12}">
      <formula1>"1,2,3,4,5"</formula1>
    </dataValidation>
    <dataValidation type="list" allowBlank="1" showInputMessage="1" showErrorMessage="1" errorTitle="Entrada inválida" error="Selecione o nível de probabilidade." promptTitle="PROBABILIDADE" prompt="1 (Raro)_x000a_2 (Improvável)_x000a_3 (Possível)_x000a_4 (Provável)_x000a_5 (Quase Certo)" sqref="H10:H83 P10:P83" xr:uid="{F76C8072-F56F-44A4-A41A-F383B82EA134}">
      <formula1>"1,2,3,4,5"</formula1>
    </dataValidation>
    <dataValidation allowBlank="1" showInputMessage="1" showErrorMessage="1" promptTitle="Atividade" prompt="Descreva a atividade que será realizada." sqref="C9:C83" xr:uid="{C562729E-F0F8-4CF6-AB84-3E479E743AB7}"/>
    <dataValidation allowBlank="1" showInputMessage="1" showErrorMessage="1" promptTitle="Perigo" prompt="Indique a fonte ou situação com potencial de causar dano." sqref="D9:D83" xr:uid="{64309E66-53B3-4288-8A3D-795C2B333B4F}"/>
    <dataValidation allowBlank="1" showInputMessage="1" showErrorMessage="1" promptTitle="Eliminação" prompt="Indique como eliminar completamente o perigo, removendo a fonte do risco." sqref="J9:J83" xr:uid="{E1961CAD-1098-44B3-9AB3-182C56B56C78}"/>
    <dataValidation allowBlank="1" showInputMessage="1" showErrorMessage="1" promptTitle="Substituição" prompt="Informe se é possível substituir o processo, produto ou equipamento por outro menos perigoso." sqref="K9:K83" xr:uid="{B7DACB26-3002-4405-80A4-FF90B1321526}"/>
    <dataValidation allowBlank="1" showInputMessage="1" showErrorMessage="1" promptTitle="Controles de Engenharia" prompt="Descreva barreiras físicas ou dispositivos que reduzem a exposição ao perigo." sqref="L9:L83" xr:uid="{33AA5503-2837-4BA2-98B8-B118A7EDC8B3}"/>
    <dataValidation allowBlank="1" showInputMessage="1" showErrorMessage="1" promptTitle="Sinalização/Alertas/Controle Adm" prompt="Indique medidas administrativas ou avisos para alertar e orientar os trabalhadores." sqref="M9:M83" xr:uid="{C8C23B15-872C-4283-ADA9-BAD1FF753C8C}"/>
    <dataValidation allowBlank="1" showInputMessage="1" showErrorMessage="1" promptTitle="EPI" prompt="Liste os Equipamentos de Proteção Individual necessários para reduzir o impacto caso ocorra o evento." sqref="N9:N83" xr:uid="{0609CB0D-1282-428B-8DEF-F4383BC3E15D}"/>
    <dataValidation allowBlank="1" showInputMessage="1" showErrorMessage="1" promptTitle="Controles Específicos" prompt="Liste medidas adicionais ou específicas aplicadas à atividade para reduzir o risco, além das hierarquizadas (eliminação, substituição, engenharia, sinalização e EPI)." sqref="R9:R83" xr:uid="{DFA6F925-2158-4636-8092-A9DB2C362AE5}"/>
    <dataValidation allowBlank="1" showInputMessage="1" showErrorMessage="1" promptTitle="Área" prompt="Indique a localização física ou setor onde a atividade será realizada. Deve ser específico para facilitar a identificação e gestão do risco._x000a__x000a_Exemplos:_x000a_“Subestação 230 kV”_x000a_“Sala de comando”_x000a_“Área externa – setor de transformadores”_x000a_“Oficina mecânica”" sqref="B9:B83" xr:uid="{676373E4-CFAE-4C08-9D49-16D05143FC2B}"/>
    <dataValidation allowBlank="1" showInputMessage="1" showErrorMessage="1" promptTitle="Danos/Impacto" prompt="Informe as consequências possíveis caso ocorra o evento perigoso." sqref="E9:E83" xr:uid="{5A4F8A29-7FA2-4877-904B-9D6C6432AD8D}"/>
    <dataValidation allowBlank="1" showInputMessage="1" showErrorMessage="1" promptTitle="Risco" prompt="Descreva de forma curta e objetiva a possibilidade do dano ocorrer." sqref="F9:F83" xr:uid="{6B58AD9C-6F66-4E55-8FD5-152DF74FFBC4}"/>
  </dataValidations>
  <printOptions horizontalCentered="1"/>
  <pageMargins left="0.31496062992125984" right="0.31496062992125984" top="0.31496062992125984" bottom="0.43307086614173229" header="0.19685039370078741" footer="0.19685039370078741"/>
  <pageSetup paperSize="9" scale="53" fitToHeight="0" orientation="landscape" r:id="rId1"/>
  <headerFooter>
    <oddFooter>&amp;L&amp;12&amp;K0000FF&amp;A&amp;C&amp;12&amp;K0000FFPágina &amp;P de &amp;N&amp;R&amp;12&amp;K0000FFImpresso em: &amp;D &amp;T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87295C7-F60C-4689-8FE6-0DE9D6C7F507}">
            <xm:f>NOT(ISERROR(SEARCH("ALTO",I10)))</xm:f>
            <xm:f>"ALTO"</xm:f>
            <x14:dxf>
              <fill>
                <patternFill>
                  <bgColor rgb="FFFFC000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bottom style="thin">
                  <color theme="0"/>
                </bottom>
              </border>
            </x14:dxf>
          </x14:cfRule>
          <x14:cfRule type="containsText" priority="3" operator="containsText" id="{B5A2FF3B-6ABE-4C02-992D-F3A5EF1B5A55}">
            <xm:f>NOT(ISERROR(SEARCH("MÉDIO",I10)))</xm:f>
            <xm:f>"MÉDIO"</xm:f>
            <x14:dxf>
              <fill>
                <patternFill>
                  <bgColor rgb="FFFFFF00"/>
                </patternFill>
              </fill>
              <border>
                <left style="thin">
                  <color theme="0"/>
                </left>
                <right style="thin">
                  <color theme="0"/>
                </right>
                <bottom style="thin">
                  <color theme="0"/>
                </bottom>
              </border>
            </x14:dxf>
          </x14:cfRule>
          <xm:sqref>I10:I83 Q10:Q83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959B-7FA8-41D7-8403-D73E694AF3FF}">
  <sheetPr codeName="Planilha12">
    <tabColor theme="1" tint="0.14999847407452621"/>
    <pageSetUpPr fitToPage="1"/>
  </sheetPr>
  <dimension ref="B1:L96"/>
  <sheetViews>
    <sheetView showGridLines="0" zoomScaleNormal="100" workbookViewId="0">
      <selection activeCell="B3" sqref="B3:L4"/>
    </sheetView>
  </sheetViews>
  <sheetFormatPr defaultColWidth="9.140625" defaultRowHeight="27" customHeight="1" x14ac:dyDescent="0.25"/>
  <cols>
    <col min="1" max="1" width="1.42578125" style="148" customWidth="1"/>
    <col min="2" max="2" width="15.28515625" style="148" customWidth="1"/>
    <col min="3" max="3" width="5.28515625" style="148" customWidth="1"/>
    <col min="4" max="4" width="68.28515625" style="149" customWidth="1"/>
    <col min="5" max="7" width="9.28515625" style="150" customWidth="1"/>
    <col min="8" max="8" width="9.85546875" style="150" hidden="1" customWidth="1"/>
    <col min="9" max="12" width="9.28515625" style="150" customWidth="1"/>
    <col min="13" max="13" width="1.42578125" style="148" customWidth="1"/>
    <col min="14" max="16384" width="9.140625" style="148"/>
  </cols>
  <sheetData>
    <row r="1" spans="2:12" ht="7.5" customHeight="1" thickBot="1" x14ac:dyDescent="0.3"/>
    <row r="2" spans="2:12" ht="18.75" customHeight="1" thickTop="1" x14ac:dyDescent="0.25">
      <c r="B2" s="439" t="s">
        <v>673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</row>
    <row r="3" spans="2:12" ht="18.75" customHeight="1" x14ac:dyDescent="0.25">
      <c r="B3" s="441" t="s">
        <v>484</v>
      </c>
      <c r="C3" s="423"/>
      <c r="D3" s="423"/>
      <c r="E3" s="423"/>
      <c r="F3" s="423"/>
      <c r="G3" s="423"/>
      <c r="H3" s="423"/>
      <c r="I3" s="423"/>
      <c r="J3" s="423"/>
      <c r="K3" s="423"/>
      <c r="L3" s="423"/>
    </row>
    <row r="4" spans="2:12" ht="18.75" customHeight="1" thickBot="1" x14ac:dyDescent="0.3">
      <c r="B4" s="442"/>
      <c r="C4" s="426"/>
      <c r="D4" s="426"/>
      <c r="E4" s="426"/>
      <c r="F4" s="426"/>
      <c r="G4" s="426"/>
      <c r="H4" s="426"/>
      <c r="I4" s="426"/>
      <c r="J4" s="426"/>
      <c r="K4" s="426"/>
      <c r="L4" s="426"/>
    </row>
    <row r="5" spans="2:12" ht="10.5" customHeight="1" thickTop="1" x14ac:dyDescent="0.25"/>
    <row r="6" spans="2:12" s="156" customFormat="1" ht="31.5" customHeight="1" x14ac:dyDescent="0.25">
      <c r="B6" s="165" t="s">
        <v>291</v>
      </c>
      <c r="C6" s="166" t="s">
        <v>156</v>
      </c>
      <c r="D6" s="166" t="s">
        <v>292</v>
      </c>
      <c r="E6" s="167" t="s">
        <v>6</v>
      </c>
      <c r="F6" s="167" t="s">
        <v>293</v>
      </c>
      <c r="G6" s="168" t="s">
        <v>294</v>
      </c>
      <c r="H6" s="168" t="s">
        <v>295</v>
      </c>
      <c r="I6" s="168" t="s">
        <v>296</v>
      </c>
      <c r="J6" s="167" t="s">
        <v>297</v>
      </c>
      <c r="K6" s="167" t="s">
        <v>298</v>
      </c>
      <c r="L6" s="167" t="s">
        <v>299</v>
      </c>
    </row>
    <row r="7" spans="2:12" ht="30" customHeight="1" x14ac:dyDescent="0.25">
      <c r="B7" s="147" t="s">
        <v>300</v>
      </c>
      <c r="C7" s="157">
        <v>1</v>
      </c>
      <c r="D7" s="100" t="s">
        <v>176</v>
      </c>
      <c r="E7" s="99"/>
      <c r="F7" s="99"/>
      <c r="G7" s="101" t="b">
        <v>0</v>
      </c>
      <c r="H7" s="159">
        <f>IF(AND(Tabela13814[[#This Row],[Item]]&lt;&gt;"",LEN(Tabela13814[[#This Row],[Item]])&lt;3),1,"")</f>
        <v>1</v>
      </c>
      <c r="I7" s="159" t="str">
        <f t="shared" ref="I7:L34" si="0">"___:___"</f>
        <v>___:___</v>
      </c>
      <c r="J7" s="158" t="str">
        <f t="shared" si="0"/>
        <v>___:___</v>
      </c>
      <c r="K7" s="158" t="str">
        <f t="shared" si="0"/>
        <v>___:___</v>
      </c>
      <c r="L7" s="158" t="str">
        <f t="shared" si="0"/>
        <v>___:___</v>
      </c>
    </row>
    <row r="8" spans="2:12" ht="30" customHeight="1" x14ac:dyDescent="0.25">
      <c r="B8" s="99"/>
      <c r="C8" s="160" t="str">
        <f t="shared" ref="C8:C39" si="1">IF(B8&lt;&gt;"",
    IF(IFERROR(FIND(".", C7),0)&gt;0, VALUE(LEFT(C7, FIND(".", C7)-1))+1, VALUE(C7)+1),
    IF(IFERROR(FIND(".", C7),0)&gt;0,
        LEFT(C7, FIND(".", C7)) &amp; (VALUE(RIGHT(C7, LEN(C7) - FIND(".", C7)))+1),
        C7 &amp; ".1"
    )
)</f>
        <v>1.1</v>
      </c>
      <c r="D8" s="102" t="s">
        <v>301</v>
      </c>
      <c r="E8" s="99"/>
      <c r="F8" s="99"/>
      <c r="G8" s="101" t="b">
        <v>0</v>
      </c>
      <c r="H8" s="159" t="str">
        <f>IF(AND(Tabela13814[[#This Row],[Item]]&lt;&gt;"",LEN(Tabela13814[[#This Row],[Item]])&lt;3),1,"")</f>
        <v/>
      </c>
      <c r="I8" s="159" t="str">
        <f t="shared" si="0"/>
        <v>___:___</v>
      </c>
      <c r="J8" s="158" t="str">
        <f t="shared" si="0"/>
        <v>___:___</v>
      </c>
      <c r="K8" s="158" t="str">
        <f t="shared" si="0"/>
        <v>___:___</v>
      </c>
      <c r="L8" s="158" t="str">
        <f t="shared" si="0"/>
        <v>___:___</v>
      </c>
    </row>
    <row r="9" spans="2:12" ht="30" customHeight="1" x14ac:dyDescent="0.25">
      <c r="B9" s="99"/>
      <c r="C9" s="159" t="str">
        <f t="shared" si="1"/>
        <v>1.2</v>
      </c>
      <c r="D9" s="102" t="s">
        <v>302</v>
      </c>
      <c r="E9" s="99"/>
      <c r="F9" s="99"/>
      <c r="G9" s="101" t="b">
        <v>1</v>
      </c>
      <c r="H9" s="159" t="str">
        <f>IF(AND(Tabela13814[[#This Row],[Item]]&lt;&gt;"",LEN(Tabela13814[[#This Row],[Item]])&lt;3),1,"")</f>
        <v/>
      </c>
      <c r="I9" s="159" t="str">
        <f t="shared" si="0"/>
        <v>___:___</v>
      </c>
      <c r="J9" s="158" t="str">
        <f t="shared" si="0"/>
        <v>___:___</v>
      </c>
      <c r="K9" s="158" t="str">
        <f t="shared" si="0"/>
        <v>___:___</v>
      </c>
      <c r="L9" s="158" t="str">
        <f t="shared" si="0"/>
        <v>___:___</v>
      </c>
    </row>
    <row r="10" spans="2:12" ht="30" customHeight="1" x14ac:dyDescent="0.25">
      <c r="B10" s="99"/>
      <c r="C10" s="160" t="str">
        <f t="shared" si="1"/>
        <v>1.3</v>
      </c>
      <c r="D10" s="102" t="s">
        <v>303</v>
      </c>
      <c r="E10" s="99"/>
      <c r="F10" s="99"/>
      <c r="G10" s="101" t="b">
        <v>0</v>
      </c>
      <c r="H10" s="159" t="str">
        <f>IF(AND(Tabela13814[[#This Row],[Item]]&lt;&gt;"",LEN(Tabela13814[[#This Row],[Item]])&lt;3),1,"")</f>
        <v/>
      </c>
      <c r="I10" s="159" t="str">
        <f t="shared" si="0"/>
        <v>___:___</v>
      </c>
      <c r="J10" s="158" t="str">
        <f t="shared" si="0"/>
        <v>___:___</v>
      </c>
      <c r="K10" s="158" t="str">
        <f t="shared" si="0"/>
        <v>___:___</v>
      </c>
      <c r="L10" s="158" t="str">
        <f t="shared" si="0"/>
        <v>___:___</v>
      </c>
    </row>
    <row r="11" spans="2:12" ht="30" customHeight="1" x14ac:dyDescent="0.25">
      <c r="B11" s="147" t="s">
        <v>304</v>
      </c>
      <c r="C11" s="157">
        <f t="shared" si="1"/>
        <v>2</v>
      </c>
      <c r="D11" s="100" t="s">
        <v>305</v>
      </c>
      <c r="E11" s="99"/>
      <c r="F11" s="99"/>
      <c r="G11" s="101" t="b">
        <v>0</v>
      </c>
      <c r="H11" s="159">
        <f>IF(AND(Tabela13814[[#This Row],[Item]]&lt;&gt;"",LEN(Tabela13814[[#This Row],[Item]])&lt;3),1,"")</f>
        <v>1</v>
      </c>
      <c r="I11" s="159" t="str">
        <f t="shared" si="0"/>
        <v>___:___</v>
      </c>
      <c r="J11" s="158" t="str">
        <f t="shared" si="0"/>
        <v>___:___</v>
      </c>
      <c r="K11" s="158" t="str">
        <f t="shared" si="0"/>
        <v>___:___</v>
      </c>
      <c r="L11" s="158" t="str">
        <f t="shared" si="0"/>
        <v>___:___</v>
      </c>
    </row>
    <row r="12" spans="2:12" ht="30" customHeight="1" x14ac:dyDescent="0.25">
      <c r="B12" s="99"/>
      <c r="C12" s="160" t="str">
        <f t="shared" si="1"/>
        <v>2.1</v>
      </c>
      <c r="D12" s="102" t="s">
        <v>306</v>
      </c>
      <c r="E12" s="99"/>
      <c r="F12" s="99"/>
      <c r="G12" s="101" t="b">
        <v>0</v>
      </c>
      <c r="H12" s="159" t="str">
        <f>IF(AND(Tabela13814[[#This Row],[Item]]&lt;&gt;"",LEN(Tabela13814[[#This Row],[Item]])&lt;3),1,"")</f>
        <v/>
      </c>
      <c r="I12" s="159" t="str">
        <f t="shared" si="0"/>
        <v>___:___</v>
      </c>
      <c r="J12" s="158" t="str">
        <f t="shared" si="0"/>
        <v>___:___</v>
      </c>
      <c r="K12" s="158" t="str">
        <f t="shared" si="0"/>
        <v>___:___</v>
      </c>
      <c r="L12" s="158" t="str">
        <f t="shared" si="0"/>
        <v>___:___</v>
      </c>
    </row>
    <row r="13" spans="2:12" ht="30" customHeight="1" x14ac:dyDescent="0.25">
      <c r="B13" s="99"/>
      <c r="C13" s="160" t="str">
        <f t="shared" si="1"/>
        <v>2.2</v>
      </c>
      <c r="D13" s="102" t="s">
        <v>307</v>
      </c>
      <c r="E13" s="99"/>
      <c r="F13" s="99"/>
      <c r="G13" s="101" t="b">
        <v>0</v>
      </c>
      <c r="H13" s="159" t="str">
        <f>IF(AND(Tabela13814[[#This Row],[Item]]&lt;&gt;"",LEN(Tabela13814[[#This Row],[Item]])&lt;3),1,"")</f>
        <v/>
      </c>
      <c r="I13" s="159" t="str">
        <f t="shared" si="0"/>
        <v>___:___</v>
      </c>
      <c r="J13" s="158" t="str">
        <f t="shared" si="0"/>
        <v>___:___</v>
      </c>
      <c r="K13" s="158" t="str">
        <f t="shared" si="0"/>
        <v>___:___</v>
      </c>
      <c r="L13" s="158" t="str">
        <f t="shared" si="0"/>
        <v>___:___</v>
      </c>
    </row>
    <row r="14" spans="2:12" ht="30" customHeight="1" x14ac:dyDescent="0.25">
      <c r="B14" s="99"/>
      <c r="C14" s="160" t="str">
        <f t="shared" si="1"/>
        <v>2.3</v>
      </c>
      <c r="D14" s="102" t="s">
        <v>308</v>
      </c>
      <c r="E14" s="99"/>
      <c r="F14" s="99"/>
      <c r="G14" s="101" t="b">
        <v>1</v>
      </c>
      <c r="H14" s="159" t="str">
        <f>IF(AND(Tabela13814[[#This Row],[Item]]&lt;&gt;"",LEN(Tabela13814[[#This Row],[Item]])&lt;3),1,"")</f>
        <v/>
      </c>
      <c r="I14" s="159" t="str">
        <f t="shared" si="0"/>
        <v>___:___</v>
      </c>
      <c r="J14" s="158" t="str">
        <f t="shared" si="0"/>
        <v>___:___</v>
      </c>
      <c r="K14" s="158" t="str">
        <f t="shared" si="0"/>
        <v>___:___</v>
      </c>
      <c r="L14" s="158" t="str">
        <f t="shared" si="0"/>
        <v>___:___</v>
      </c>
    </row>
    <row r="15" spans="2:12" ht="30" customHeight="1" x14ac:dyDescent="0.25">
      <c r="B15" s="99"/>
      <c r="C15" s="160" t="str">
        <f t="shared" si="1"/>
        <v>2.4</v>
      </c>
      <c r="D15" s="102" t="s">
        <v>309</v>
      </c>
      <c r="E15" s="99"/>
      <c r="F15" s="99"/>
      <c r="G15" s="101" t="b">
        <v>1</v>
      </c>
      <c r="H15" s="159" t="str">
        <f>IF(AND(Tabela13814[[#This Row],[Item]]&lt;&gt;"",LEN(Tabela13814[[#This Row],[Item]])&lt;3),1,"")</f>
        <v/>
      </c>
      <c r="I15" s="159" t="str">
        <f t="shared" si="0"/>
        <v>___:___</v>
      </c>
      <c r="J15" s="158" t="str">
        <f t="shared" si="0"/>
        <v>___:___</v>
      </c>
      <c r="K15" s="158" t="str">
        <f t="shared" si="0"/>
        <v>___:___</v>
      </c>
      <c r="L15" s="158" t="str">
        <f t="shared" si="0"/>
        <v>___:___</v>
      </c>
    </row>
    <row r="16" spans="2:12" ht="30" customHeight="1" x14ac:dyDescent="0.25">
      <c r="B16" s="99"/>
      <c r="C16" s="160" t="str">
        <f t="shared" si="1"/>
        <v>2.5</v>
      </c>
      <c r="D16" s="102" t="s">
        <v>310</v>
      </c>
      <c r="E16" s="99"/>
      <c r="F16" s="99"/>
      <c r="G16" s="101" t="b">
        <v>1</v>
      </c>
      <c r="H16" s="159" t="str">
        <f>IF(AND(Tabela13814[[#This Row],[Item]]&lt;&gt;"",LEN(Tabela13814[[#This Row],[Item]])&lt;3),1,"")</f>
        <v/>
      </c>
      <c r="I16" s="159" t="str">
        <f t="shared" si="0"/>
        <v>___:___</v>
      </c>
      <c r="J16" s="158" t="str">
        <f t="shared" si="0"/>
        <v>___:___</v>
      </c>
      <c r="K16" s="158" t="str">
        <f t="shared" si="0"/>
        <v>___:___</v>
      </c>
      <c r="L16" s="158" t="str">
        <f t="shared" si="0"/>
        <v>___:___</v>
      </c>
    </row>
    <row r="17" spans="2:12" ht="30" customHeight="1" x14ac:dyDescent="0.25">
      <c r="B17" s="99"/>
      <c r="C17" s="160" t="str">
        <f t="shared" si="1"/>
        <v>2.6</v>
      </c>
      <c r="D17" s="102" t="s">
        <v>311</v>
      </c>
      <c r="E17" s="99"/>
      <c r="F17" s="99"/>
      <c r="G17" s="101" t="b">
        <v>1</v>
      </c>
      <c r="H17" s="159" t="str">
        <f>IF(AND(Tabela13814[[#This Row],[Item]]&lt;&gt;"",LEN(Tabela13814[[#This Row],[Item]])&lt;3),1,"")</f>
        <v/>
      </c>
      <c r="I17" s="159" t="str">
        <f t="shared" si="0"/>
        <v>___:___</v>
      </c>
      <c r="J17" s="158" t="str">
        <f t="shared" si="0"/>
        <v>___:___</v>
      </c>
      <c r="K17" s="158" t="str">
        <f t="shared" si="0"/>
        <v>___:___</v>
      </c>
      <c r="L17" s="158" t="str">
        <f t="shared" si="0"/>
        <v>___:___</v>
      </c>
    </row>
    <row r="18" spans="2:12" ht="30" customHeight="1" x14ac:dyDescent="0.25">
      <c r="B18" s="99"/>
      <c r="C18" s="160" t="str">
        <f t="shared" si="1"/>
        <v>2.7</v>
      </c>
      <c r="D18" s="102" t="s">
        <v>312</v>
      </c>
      <c r="E18" s="99"/>
      <c r="F18" s="99"/>
      <c r="G18" s="101" t="b">
        <v>1</v>
      </c>
      <c r="H18" s="159" t="str">
        <f>IF(AND(Tabela13814[[#This Row],[Item]]&lt;&gt;"",LEN(Tabela13814[[#This Row],[Item]])&lt;3),1,"")</f>
        <v/>
      </c>
      <c r="I18" s="159" t="str">
        <f t="shared" si="0"/>
        <v>___:___</v>
      </c>
      <c r="J18" s="158" t="str">
        <f t="shared" si="0"/>
        <v>___:___</v>
      </c>
      <c r="K18" s="158" t="str">
        <f t="shared" si="0"/>
        <v>___:___</v>
      </c>
      <c r="L18" s="158" t="str">
        <f t="shared" si="0"/>
        <v>___:___</v>
      </c>
    </row>
    <row r="19" spans="2:12" ht="30" customHeight="1" x14ac:dyDescent="0.25">
      <c r="B19" s="99"/>
      <c r="C19" s="160" t="str">
        <f t="shared" si="1"/>
        <v>2.8</v>
      </c>
      <c r="D19" s="102" t="s">
        <v>313</v>
      </c>
      <c r="E19" s="99"/>
      <c r="F19" s="99"/>
      <c r="G19" s="101" t="b">
        <v>1</v>
      </c>
      <c r="H19" s="159" t="str">
        <f>IF(AND(Tabela13814[[#This Row],[Item]]&lt;&gt;"",LEN(Tabela13814[[#This Row],[Item]])&lt;3),1,"")</f>
        <v/>
      </c>
      <c r="I19" s="159" t="str">
        <f t="shared" si="0"/>
        <v>___:___</v>
      </c>
      <c r="J19" s="158" t="str">
        <f t="shared" si="0"/>
        <v>___:___</v>
      </c>
      <c r="K19" s="158" t="str">
        <f t="shared" si="0"/>
        <v>___:___</v>
      </c>
      <c r="L19" s="158" t="str">
        <f t="shared" si="0"/>
        <v>___:___</v>
      </c>
    </row>
    <row r="20" spans="2:12" ht="30" customHeight="1" x14ac:dyDescent="0.25">
      <c r="B20" s="147" t="s">
        <v>300</v>
      </c>
      <c r="C20" s="157">
        <f t="shared" si="1"/>
        <v>3</v>
      </c>
      <c r="D20" s="100" t="s">
        <v>314</v>
      </c>
      <c r="E20" s="99"/>
      <c r="F20" s="99"/>
      <c r="G20" s="101" t="b">
        <v>0</v>
      </c>
      <c r="H20" s="159">
        <f>IF(AND(Tabela13814[[#This Row],[Item]]&lt;&gt;"",LEN(Tabela13814[[#This Row],[Item]])&lt;3),1,"")</f>
        <v>1</v>
      </c>
      <c r="I20" s="159" t="str">
        <f t="shared" si="0"/>
        <v>___:___</v>
      </c>
      <c r="J20" s="158" t="str">
        <f t="shared" si="0"/>
        <v>___:___</v>
      </c>
      <c r="K20" s="158" t="str">
        <f t="shared" si="0"/>
        <v>___:___</v>
      </c>
      <c r="L20" s="158" t="str">
        <f t="shared" si="0"/>
        <v>___:___</v>
      </c>
    </row>
    <row r="21" spans="2:12" ht="30" customHeight="1" x14ac:dyDescent="0.25">
      <c r="B21" s="99"/>
      <c r="C21" s="160" t="str">
        <f t="shared" si="1"/>
        <v>3.1</v>
      </c>
      <c r="D21" s="102" t="s">
        <v>315</v>
      </c>
      <c r="E21" s="99"/>
      <c r="F21" s="99"/>
      <c r="G21" s="101" t="b">
        <v>1</v>
      </c>
      <c r="H21" s="159" t="str">
        <f>IF(AND(Tabela13814[[#This Row],[Item]]&lt;&gt;"",LEN(Tabela13814[[#This Row],[Item]])&lt;3),1,"")</f>
        <v/>
      </c>
      <c r="I21" s="159" t="str">
        <f t="shared" si="0"/>
        <v>___:___</v>
      </c>
      <c r="J21" s="158" t="str">
        <f t="shared" si="0"/>
        <v>___:___</v>
      </c>
      <c r="K21" s="158" t="str">
        <f t="shared" si="0"/>
        <v>___:___</v>
      </c>
      <c r="L21" s="158" t="str">
        <f t="shared" si="0"/>
        <v>___:___</v>
      </c>
    </row>
    <row r="22" spans="2:12" ht="30" customHeight="1" x14ac:dyDescent="0.25">
      <c r="B22" s="99"/>
      <c r="C22" s="160" t="str">
        <f t="shared" si="1"/>
        <v>3.2</v>
      </c>
      <c r="D22" s="102" t="s">
        <v>316</v>
      </c>
      <c r="E22" s="99"/>
      <c r="F22" s="99"/>
      <c r="G22" s="101" t="b">
        <v>1</v>
      </c>
      <c r="H22" s="159" t="str">
        <f>IF(AND(Tabela13814[[#This Row],[Item]]&lt;&gt;"",LEN(Tabela13814[[#This Row],[Item]])&lt;3),1,"")</f>
        <v/>
      </c>
      <c r="I22" s="159" t="str">
        <f t="shared" si="0"/>
        <v>___:___</v>
      </c>
      <c r="J22" s="158" t="str">
        <f t="shared" si="0"/>
        <v>___:___</v>
      </c>
      <c r="K22" s="158" t="str">
        <f t="shared" si="0"/>
        <v>___:___</v>
      </c>
      <c r="L22" s="158" t="str">
        <f t="shared" si="0"/>
        <v>___:___</v>
      </c>
    </row>
    <row r="23" spans="2:12" ht="30" customHeight="1" x14ac:dyDescent="0.25">
      <c r="B23" s="99"/>
      <c r="C23" s="160" t="str">
        <f t="shared" si="1"/>
        <v>3.3</v>
      </c>
      <c r="D23" s="102" t="s">
        <v>317</v>
      </c>
      <c r="E23" s="99"/>
      <c r="F23" s="99"/>
      <c r="G23" s="101" t="b">
        <v>1</v>
      </c>
      <c r="H23" s="159" t="str">
        <f>IF(AND(Tabela13814[[#This Row],[Item]]&lt;&gt;"",LEN(Tabela13814[[#This Row],[Item]])&lt;3),1,"")</f>
        <v/>
      </c>
      <c r="I23" s="159" t="str">
        <f t="shared" si="0"/>
        <v>___:___</v>
      </c>
      <c r="J23" s="158" t="str">
        <f t="shared" si="0"/>
        <v>___:___</v>
      </c>
      <c r="K23" s="158" t="str">
        <f t="shared" si="0"/>
        <v>___:___</v>
      </c>
      <c r="L23" s="158" t="str">
        <f t="shared" si="0"/>
        <v>___:___</v>
      </c>
    </row>
    <row r="24" spans="2:12" ht="30" customHeight="1" x14ac:dyDescent="0.25">
      <c r="B24" s="147" t="s">
        <v>304</v>
      </c>
      <c r="C24" s="157">
        <f t="shared" si="1"/>
        <v>4</v>
      </c>
      <c r="D24" s="103" t="s">
        <v>318</v>
      </c>
      <c r="E24" s="99"/>
      <c r="F24" s="99"/>
      <c r="G24" s="101" t="b">
        <v>0</v>
      </c>
      <c r="H24" s="159">
        <f>IF(AND(Tabela13814[[#This Row],[Item]]&lt;&gt;"",LEN(Tabela13814[[#This Row],[Item]])&lt;3),1,"")</f>
        <v>1</v>
      </c>
      <c r="I24" s="159" t="str">
        <f t="shared" si="0"/>
        <v>___:___</v>
      </c>
      <c r="J24" s="158" t="str">
        <f t="shared" si="0"/>
        <v>___:___</v>
      </c>
      <c r="K24" s="158" t="str">
        <f t="shared" si="0"/>
        <v>___:___</v>
      </c>
      <c r="L24" s="158" t="str">
        <f t="shared" si="0"/>
        <v>___:___</v>
      </c>
    </row>
    <row r="25" spans="2:12" ht="30" customHeight="1" x14ac:dyDescent="0.25">
      <c r="B25" s="99"/>
      <c r="C25" s="160" t="str">
        <f t="shared" si="1"/>
        <v>4.1</v>
      </c>
      <c r="D25" s="102" t="s">
        <v>319</v>
      </c>
      <c r="E25" s="99"/>
      <c r="F25" s="99"/>
      <c r="G25" s="101" t="b">
        <v>0</v>
      </c>
      <c r="H25" s="159" t="str">
        <f>IF(AND(Tabela13814[[#This Row],[Item]]&lt;&gt;"",LEN(Tabela13814[[#This Row],[Item]])&lt;3),1,"")</f>
        <v/>
      </c>
      <c r="I25" s="159" t="str">
        <f t="shared" si="0"/>
        <v>___:___</v>
      </c>
      <c r="J25" s="158" t="str">
        <f t="shared" si="0"/>
        <v>___:___</v>
      </c>
      <c r="K25" s="158" t="str">
        <f t="shared" si="0"/>
        <v>___:___</v>
      </c>
      <c r="L25" s="158" t="str">
        <f t="shared" si="0"/>
        <v>___:___</v>
      </c>
    </row>
    <row r="26" spans="2:12" ht="30" customHeight="1" x14ac:dyDescent="0.25">
      <c r="B26" s="99"/>
      <c r="C26" s="160" t="str">
        <f t="shared" si="1"/>
        <v>4.2</v>
      </c>
      <c r="D26" s="102" t="s">
        <v>320</v>
      </c>
      <c r="E26" s="99"/>
      <c r="F26" s="99"/>
      <c r="G26" s="101" t="b">
        <v>1</v>
      </c>
      <c r="H26" s="159" t="str">
        <f>IF(AND(Tabela13814[[#This Row],[Item]]&lt;&gt;"",LEN(Tabela13814[[#This Row],[Item]])&lt;3),1,"")</f>
        <v/>
      </c>
      <c r="I26" s="159" t="str">
        <f t="shared" si="0"/>
        <v>___:___</v>
      </c>
      <c r="J26" s="158" t="str">
        <f t="shared" si="0"/>
        <v>___:___</v>
      </c>
      <c r="K26" s="158" t="str">
        <f t="shared" si="0"/>
        <v>___:___</v>
      </c>
      <c r="L26" s="158" t="str">
        <f t="shared" si="0"/>
        <v>___:___</v>
      </c>
    </row>
    <row r="27" spans="2:12" ht="30" customHeight="1" x14ac:dyDescent="0.25">
      <c r="B27" s="99"/>
      <c r="C27" s="160" t="str">
        <f t="shared" si="1"/>
        <v>4.3</v>
      </c>
      <c r="D27" s="102" t="s">
        <v>321</v>
      </c>
      <c r="E27" s="99"/>
      <c r="F27" s="99"/>
      <c r="G27" s="101" t="b">
        <v>1</v>
      </c>
      <c r="H27" s="159" t="str">
        <f>IF(AND(Tabela13814[[#This Row],[Item]]&lt;&gt;"",LEN(Tabela13814[[#This Row],[Item]])&lt;3),1,"")</f>
        <v/>
      </c>
      <c r="I27" s="159" t="str">
        <f t="shared" si="0"/>
        <v>___:___</v>
      </c>
      <c r="J27" s="158" t="str">
        <f t="shared" si="0"/>
        <v>___:___</v>
      </c>
      <c r="K27" s="158" t="str">
        <f t="shared" si="0"/>
        <v>___:___</v>
      </c>
      <c r="L27" s="158" t="str">
        <f t="shared" si="0"/>
        <v>___:___</v>
      </c>
    </row>
    <row r="28" spans="2:12" ht="30" customHeight="1" x14ac:dyDescent="0.25">
      <c r="B28" s="99"/>
      <c r="C28" s="160" t="str">
        <f t="shared" si="1"/>
        <v>4.4</v>
      </c>
      <c r="D28" s="102" t="s">
        <v>322</v>
      </c>
      <c r="E28" s="99"/>
      <c r="F28" s="99"/>
      <c r="G28" s="101" t="b">
        <v>1</v>
      </c>
      <c r="H28" s="159" t="str">
        <f>IF(AND(Tabela13814[[#This Row],[Item]]&lt;&gt;"",LEN(Tabela13814[[#This Row],[Item]])&lt;3),1,"")</f>
        <v/>
      </c>
      <c r="I28" s="159" t="str">
        <f t="shared" si="0"/>
        <v>___:___</v>
      </c>
      <c r="J28" s="158" t="str">
        <f t="shared" si="0"/>
        <v>___:___</v>
      </c>
      <c r="K28" s="159" t="str">
        <f t="shared" si="0"/>
        <v>___:___</v>
      </c>
      <c r="L28" s="159" t="str">
        <f t="shared" si="0"/>
        <v>___:___</v>
      </c>
    </row>
    <row r="29" spans="2:12" ht="30" customHeight="1" x14ac:dyDescent="0.25">
      <c r="B29" s="99"/>
      <c r="C29" s="160" t="str">
        <f t="shared" si="1"/>
        <v>4.5</v>
      </c>
      <c r="D29" s="102" t="s">
        <v>323</v>
      </c>
      <c r="E29" s="99"/>
      <c r="F29" s="99"/>
      <c r="G29" s="101" t="b">
        <v>1</v>
      </c>
      <c r="H29" s="159" t="str">
        <f>IF(AND(Tabela13814[[#This Row],[Item]]&lt;&gt;"",LEN(Tabela13814[[#This Row],[Item]])&lt;3),1,"")</f>
        <v/>
      </c>
      <c r="I29" s="159" t="str">
        <f t="shared" si="0"/>
        <v>___:___</v>
      </c>
      <c r="J29" s="158" t="str">
        <f t="shared" si="0"/>
        <v>___:___</v>
      </c>
      <c r="K29" s="159" t="str">
        <f t="shared" si="0"/>
        <v>___:___</v>
      </c>
      <c r="L29" s="159" t="str">
        <f t="shared" si="0"/>
        <v>___:___</v>
      </c>
    </row>
    <row r="30" spans="2:12" ht="30" customHeight="1" x14ac:dyDescent="0.25">
      <c r="B30" s="99"/>
      <c r="C30" s="160" t="str">
        <f t="shared" si="1"/>
        <v>4.6</v>
      </c>
      <c r="D30" s="102" t="s">
        <v>324</v>
      </c>
      <c r="E30" s="99"/>
      <c r="F30" s="99"/>
      <c r="G30" s="101" t="b">
        <v>1</v>
      </c>
      <c r="H30" s="159" t="str">
        <f>IF(AND(Tabela13814[[#This Row],[Item]]&lt;&gt;"",LEN(Tabela13814[[#This Row],[Item]])&lt;3),1,"")</f>
        <v/>
      </c>
      <c r="I30" s="159" t="str">
        <f t="shared" si="0"/>
        <v>___:___</v>
      </c>
      <c r="J30" s="158" t="str">
        <f t="shared" si="0"/>
        <v>___:___</v>
      </c>
      <c r="K30" s="159" t="str">
        <f t="shared" si="0"/>
        <v>___:___</v>
      </c>
      <c r="L30" s="159" t="str">
        <f t="shared" si="0"/>
        <v>___:___</v>
      </c>
    </row>
    <row r="31" spans="2:12" ht="30" customHeight="1" x14ac:dyDescent="0.25">
      <c r="B31" s="99"/>
      <c r="C31" s="160" t="str">
        <f t="shared" si="1"/>
        <v>4.7</v>
      </c>
      <c r="D31" s="102" t="s">
        <v>325</v>
      </c>
      <c r="E31" s="99"/>
      <c r="F31" s="99"/>
      <c r="G31" s="101" t="b">
        <v>1</v>
      </c>
      <c r="H31" s="159" t="str">
        <f>IF(AND(Tabela13814[[#This Row],[Item]]&lt;&gt;"",LEN(Tabela13814[[#This Row],[Item]])&lt;3),1,"")</f>
        <v/>
      </c>
      <c r="I31" s="159" t="str">
        <f t="shared" si="0"/>
        <v>___:___</v>
      </c>
      <c r="J31" s="158" t="str">
        <f t="shared" si="0"/>
        <v>___:___</v>
      </c>
      <c r="K31" s="159" t="str">
        <f t="shared" si="0"/>
        <v>___:___</v>
      </c>
      <c r="L31" s="159" t="str">
        <f t="shared" si="0"/>
        <v>___:___</v>
      </c>
    </row>
    <row r="32" spans="2:12" ht="30" customHeight="1" x14ac:dyDescent="0.25">
      <c r="B32" s="99"/>
      <c r="C32" s="160" t="str">
        <f t="shared" si="1"/>
        <v>4.8</v>
      </c>
      <c r="D32" s="102" t="s">
        <v>326</v>
      </c>
      <c r="E32" s="99"/>
      <c r="F32" s="99"/>
      <c r="G32" s="101" t="b">
        <v>0</v>
      </c>
      <c r="H32" s="159" t="str">
        <f>IF(AND(Tabela13814[[#This Row],[Item]]&lt;&gt;"",LEN(Tabela13814[[#This Row],[Item]])&lt;3),1,"")</f>
        <v/>
      </c>
      <c r="I32" s="159" t="str">
        <f t="shared" si="0"/>
        <v>___:___</v>
      </c>
      <c r="J32" s="158" t="str">
        <f t="shared" si="0"/>
        <v>___:___</v>
      </c>
      <c r="K32" s="158" t="str">
        <f t="shared" si="0"/>
        <v>___:___</v>
      </c>
      <c r="L32" s="158" t="str">
        <f t="shared" si="0"/>
        <v>___:___</v>
      </c>
    </row>
    <row r="33" spans="2:12" ht="30" customHeight="1" x14ac:dyDescent="0.25">
      <c r="B33" s="99"/>
      <c r="C33" s="160" t="str">
        <f t="shared" si="1"/>
        <v>4.9</v>
      </c>
      <c r="D33" s="102" t="s">
        <v>327</v>
      </c>
      <c r="E33" s="99"/>
      <c r="F33" s="99"/>
      <c r="G33" s="101" t="b">
        <v>0</v>
      </c>
      <c r="H33" s="159" t="str">
        <f>IF(AND(Tabela13814[[#This Row],[Item]]&lt;&gt;"",LEN(Tabela13814[[#This Row],[Item]])&lt;3),1,"")</f>
        <v/>
      </c>
      <c r="I33" s="159" t="str">
        <f t="shared" si="0"/>
        <v>___:___</v>
      </c>
      <c r="J33" s="158" t="str">
        <f t="shared" si="0"/>
        <v>___:___</v>
      </c>
      <c r="K33" s="158" t="str">
        <f t="shared" si="0"/>
        <v>___:___</v>
      </c>
      <c r="L33" s="158" t="str">
        <f t="shared" si="0"/>
        <v>___:___</v>
      </c>
    </row>
    <row r="34" spans="2:12" ht="30" customHeight="1" x14ac:dyDescent="0.25">
      <c r="B34" s="99"/>
      <c r="C34" s="160" t="str">
        <f t="shared" si="1"/>
        <v>4.10</v>
      </c>
      <c r="D34" s="102"/>
      <c r="E34" s="99"/>
      <c r="F34" s="99"/>
      <c r="G34" s="101" t="b">
        <v>1</v>
      </c>
      <c r="H34" s="159" t="e">
        <f>IF(AND(Tabela13814[[#This Row],[Item]]&lt;&gt;"",LEN(Tabela13814[[#This Row],[Item]])&lt;3),1,"")</f>
        <v>#VALUE!</v>
      </c>
      <c r="I34" s="159" t="str">
        <f t="shared" si="0"/>
        <v>___:___</v>
      </c>
      <c r="J34" s="158" t="str">
        <f t="shared" si="0"/>
        <v>___:___</v>
      </c>
      <c r="K34" s="159" t="str">
        <f t="shared" si="0"/>
        <v>___:___</v>
      </c>
      <c r="L34" s="159" t="str">
        <f t="shared" si="0"/>
        <v>___:___</v>
      </c>
    </row>
    <row r="35" spans="2:12" ht="30" customHeight="1" x14ac:dyDescent="0.25">
      <c r="B35" s="99"/>
      <c r="C35" s="160" t="str">
        <f t="shared" si="1"/>
        <v>4.11</v>
      </c>
      <c r="D35" s="102"/>
      <c r="E35" s="99"/>
      <c r="F35" s="99"/>
      <c r="G35" s="101" t="b">
        <v>1</v>
      </c>
      <c r="H35" s="159" t="e">
        <f>IF(AND(Tabela13814[[#This Row],[Item]]&lt;&gt;"",LEN(Tabela13814[[#This Row],[Item]])&lt;3),1,"")</f>
        <v>#VALUE!</v>
      </c>
      <c r="I35" s="159" t="str">
        <f t="shared" ref="I35:L39" si="2">"___:___"</f>
        <v>___:___</v>
      </c>
      <c r="J35" s="158" t="str">
        <f t="shared" si="2"/>
        <v>___:___</v>
      </c>
      <c r="K35" s="159" t="str">
        <f t="shared" si="2"/>
        <v>___:___</v>
      </c>
      <c r="L35" s="159" t="str">
        <f t="shared" si="2"/>
        <v>___:___</v>
      </c>
    </row>
    <row r="36" spans="2:12" ht="30" customHeight="1" x14ac:dyDescent="0.25">
      <c r="B36" s="99"/>
      <c r="C36" s="160" t="str">
        <f t="shared" si="1"/>
        <v>4.12</v>
      </c>
      <c r="D36" s="102"/>
      <c r="E36" s="99"/>
      <c r="F36" s="99"/>
      <c r="G36" s="101" t="b">
        <v>1</v>
      </c>
      <c r="H36" s="159" t="e">
        <f>IF(AND(Tabela13814[[#This Row],[Item]]&lt;&gt;"",LEN(Tabela13814[[#This Row],[Item]])&lt;3),1,"")</f>
        <v>#VALUE!</v>
      </c>
      <c r="I36" s="159" t="str">
        <f t="shared" si="2"/>
        <v>___:___</v>
      </c>
      <c r="J36" s="158" t="str">
        <f t="shared" si="2"/>
        <v>___:___</v>
      </c>
      <c r="K36" s="159" t="str">
        <f t="shared" si="2"/>
        <v>___:___</v>
      </c>
      <c r="L36" s="159" t="str">
        <f t="shared" si="2"/>
        <v>___:___</v>
      </c>
    </row>
    <row r="37" spans="2:12" ht="30" customHeight="1" x14ac:dyDescent="0.25">
      <c r="B37" s="99"/>
      <c r="C37" s="160" t="str">
        <f t="shared" si="1"/>
        <v>4.13</v>
      </c>
      <c r="D37" s="102"/>
      <c r="E37" s="99"/>
      <c r="F37" s="99"/>
      <c r="G37" s="101" t="b">
        <v>1</v>
      </c>
      <c r="H37" s="159" t="e">
        <f>IF(AND(Tabela13814[[#This Row],[Item]]&lt;&gt;"",LEN(Tabela13814[[#This Row],[Item]])&lt;3),1,"")</f>
        <v>#VALUE!</v>
      </c>
      <c r="I37" s="159" t="str">
        <f t="shared" si="2"/>
        <v>___:___</v>
      </c>
      <c r="J37" s="158" t="str">
        <f t="shared" si="2"/>
        <v>___:___</v>
      </c>
      <c r="K37" s="159" t="str">
        <f t="shared" si="2"/>
        <v>___:___</v>
      </c>
      <c r="L37" s="159" t="str">
        <f t="shared" si="2"/>
        <v>___:___</v>
      </c>
    </row>
    <row r="38" spans="2:12" ht="30" customHeight="1" x14ac:dyDescent="0.25">
      <c r="B38" s="99"/>
      <c r="C38" s="160" t="str">
        <f t="shared" si="1"/>
        <v>4.14</v>
      </c>
      <c r="D38" s="102"/>
      <c r="E38" s="99"/>
      <c r="F38" s="99"/>
      <c r="G38" s="101" t="b">
        <v>1</v>
      </c>
      <c r="H38" s="159" t="e">
        <f>IF(AND(Tabela13814[[#This Row],[Item]]&lt;&gt;"",LEN(Tabela13814[[#This Row],[Item]])&lt;3),1,"")</f>
        <v>#VALUE!</v>
      </c>
      <c r="I38" s="159" t="str">
        <f t="shared" si="2"/>
        <v>___:___</v>
      </c>
      <c r="J38" s="158" t="str">
        <f t="shared" si="2"/>
        <v>___:___</v>
      </c>
      <c r="K38" s="158" t="str">
        <f t="shared" si="2"/>
        <v>___:___</v>
      </c>
      <c r="L38" s="158" t="str">
        <f t="shared" si="2"/>
        <v>___:___</v>
      </c>
    </row>
    <row r="39" spans="2:12" ht="30" customHeight="1" x14ac:dyDescent="0.25">
      <c r="B39" s="99"/>
      <c r="C39" s="160" t="str">
        <f t="shared" si="1"/>
        <v>4.15</v>
      </c>
      <c r="D39" s="102"/>
      <c r="E39" s="99"/>
      <c r="F39" s="99"/>
      <c r="G39" s="101" t="b">
        <v>1</v>
      </c>
      <c r="H39" s="159" t="e">
        <f>IF(AND(Tabela13814[[#This Row],[Item]]&lt;&gt;"",LEN(Tabela13814[[#This Row],[Item]])&lt;3),1,"")</f>
        <v>#VALUE!</v>
      </c>
      <c r="I39" s="159" t="str">
        <f t="shared" si="2"/>
        <v>___:___</v>
      </c>
      <c r="J39" s="158" t="str">
        <f t="shared" si="2"/>
        <v>___:___</v>
      </c>
      <c r="K39" s="158" t="str">
        <f t="shared" si="2"/>
        <v>___:___</v>
      </c>
      <c r="L39" s="158" t="str">
        <f t="shared" si="2"/>
        <v>___:___</v>
      </c>
    </row>
    <row r="40" spans="2:12" s="150" customFormat="1" ht="30" customHeight="1" x14ac:dyDescent="0.25">
      <c r="B40" s="148"/>
      <c r="C40" s="148"/>
      <c r="D40" s="149"/>
    </row>
    <row r="41" spans="2:12" s="150" customFormat="1" ht="30" customHeight="1" x14ac:dyDescent="0.25">
      <c r="B41" s="148"/>
      <c r="C41" s="148"/>
      <c r="D41" s="149"/>
      <c r="E41" s="405"/>
      <c r="F41" s="405"/>
      <c r="G41" s="405"/>
      <c r="J41" s="443"/>
      <c r="K41" s="443"/>
      <c r="L41" s="443"/>
    </row>
    <row r="42" spans="2:12" s="150" customFormat="1" ht="17.25" customHeight="1" x14ac:dyDescent="0.25">
      <c r="B42" s="148"/>
      <c r="C42" s="148"/>
      <c r="D42" s="149"/>
      <c r="E42" s="406" t="s">
        <v>328</v>
      </c>
      <c r="F42" s="406"/>
      <c r="G42" s="406"/>
      <c r="H42" s="406"/>
      <c r="J42" s="406" t="s">
        <v>329</v>
      </c>
      <c r="K42" s="406"/>
      <c r="L42" s="406"/>
    </row>
    <row r="43" spans="2:12" s="150" customFormat="1" ht="27" customHeight="1" x14ac:dyDescent="0.25">
      <c r="B43" s="148"/>
      <c r="C43" s="148"/>
      <c r="D43" s="149"/>
    </row>
    <row r="44" spans="2:12" s="150" customFormat="1" ht="27" customHeight="1" x14ac:dyDescent="0.25">
      <c r="B44" s="148"/>
      <c r="C44" s="148"/>
      <c r="D44" s="149"/>
    </row>
    <row r="45" spans="2:12" s="150" customFormat="1" ht="27" customHeight="1" x14ac:dyDescent="0.25">
      <c r="B45" s="148"/>
      <c r="C45" s="148"/>
      <c r="D45" s="149"/>
    </row>
    <row r="46" spans="2:12" s="150" customFormat="1" ht="27" customHeight="1" x14ac:dyDescent="0.25">
      <c r="B46" s="148"/>
      <c r="C46" s="148"/>
      <c r="D46" s="149"/>
    </row>
    <row r="47" spans="2:12" s="150" customFormat="1" ht="27" customHeight="1" x14ac:dyDescent="0.25">
      <c r="B47" s="148"/>
      <c r="C47" s="148"/>
      <c r="D47" s="149"/>
    </row>
    <row r="48" spans="2:12" s="150" customFormat="1" ht="27" customHeight="1" x14ac:dyDescent="0.25">
      <c r="B48" s="148"/>
      <c r="C48" s="148"/>
      <c r="D48" s="149"/>
    </row>
    <row r="49" spans="2:4" s="150" customFormat="1" ht="27" customHeight="1" x14ac:dyDescent="0.25">
      <c r="B49" s="148"/>
      <c r="C49" s="148"/>
      <c r="D49" s="149"/>
    </row>
    <row r="50" spans="2:4" s="150" customFormat="1" ht="27" customHeight="1" x14ac:dyDescent="0.25">
      <c r="B50" s="148"/>
      <c r="C50" s="148"/>
      <c r="D50" s="149"/>
    </row>
    <row r="51" spans="2:4" s="150" customFormat="1" ht="27" customHeight="1" x14ac:dyDescent="0.25">
      <c r="B51" s="148"/>
      <c r="C51" s="148"/>
      <c r="D51" s="149"/>
    </row>
    <row r="52" spans="2:4" s="150" customFormat="1" ht="27" customHeight="1" x14ac:dyDescent="0.25">
      <c r="B52" s="148"/>
      <c r="C52" s="148"/>
      <c r="D52" s="149"/>
    </row>
    <row r="53" spans="2:4" s="150" customFormat="1" ht="27" customHeight="1" x14ac:dyDescent="0.25">
      <c r="B53" s="148"/>
      <c r="C53" s="148"/>
      <c r="D53" s="149"/>
    </row>
    <row r="54" spans="2:4" s="150" customFormat="1" ht="27" customHeight="1" x14ac:dyDescent="0.25">
      <c r="B54" s="148"/>
      <c r="C54" s="148"/>
      <c r="D54" s="149"/>
    </row>
    <row r="55" spans="2:4" s="150" customFormat="1" ht="27" customHeight="1" x14ac:dyDescent="0.25">
      <c r="B55" s="148"/>
      <c r="C55" s="148"/>
      <c r="D55" s="149"/>
    </row>
    <row r="56" spans="2:4" s="150" customFormat="1" ht="27" customHeight="1" x14ac:dyDescent="0.25">
      <c r="B56" s="148"/>
      <c r="C56" s="148"/>
      <c r="D56" s="149"/>
    </row>
    <row r="57" spans="2:4" s="150" customFormat="1" ht="27" customHeight="1" x14ac:dyDescent="0.25">
      <c r="B57" s="148"/>
      <c r="C57" s="148"/>
      <c r="D57" s="149"/>
    </row>
    <row r="58" spans="2:4" s="150" customFormat="1" ht="27" customHeight="1" x14ac:dyDescent="0.25">
      <c r="B58" s="148"/>
      <c r="C58" s="148"/>
      <c r="D58" s="149"/>
    </row>
    <row r="59" spans="2:4" s="150" customFormat="1" ht="27" customHeight="1" x14ac:dyDescent="0.25">
      <c r="B59" s="148"/>
      <c r="C59" s="148"/>
      <c r="D59" s="149"/>
    </row>
    <row r="60" spans="2:4" s="150" customFormat="1" ht="27" customHeight="1" x14ac:dyDescent="0.25">
      <c r="B60" s="148"/>
      <c r="C60" s="148"/>
      <c r="D60" s="149"/>
    </row>
    <row r="61" spans="2:4" s="150" customFormat="1" ht="27" customHeight="1" x14ac:dyDescent="0.25">
      <c r="B61" s="148"/>
      <c r="C61" s="148"/>
      <c r="D61" s="149"/>
    </row>
    <row r="62" spans="2:4" s="150" customFormat="1" ht="27" customHeight="1" x14ac:dyDescent="0.25">
      <c r="B62" s="148"/>
      <c r="C62" s="148"/>
      <c r="D62" s="149"/>
    </row>
    <row r="63" spans="2:4" s="150" customFormat="1" ht="27" customHeight="1" x14ac:dyDescent="0.25">
      <c r="B63" s="148"/>
      <c r="C63" s="148"/>
      <c r="D63" s="149"/>
    </row>
    <row r="64" spans="2:4" s="150" customFormat="1" ht="27" customHeight="1" x14ac:dyDescent="0.25">
      <c r="B64" s="148"/>
      <c r="C64" s="148"/>
      <c r="D64" s="149"/>
    </row>
    <row r="65" spans="2:4" s="150" customFormat="1" ht="27" customHeight="1" x14ac:dyDescent="0.25">
      <c r="B65" s="148"/>
      <c r="C65" s="148"/>
      <c r="D65" s="149"/>
    </row>
    <row r="66" spans="2:4" s="150" customFormat="1" ht="27" customHeight="1" x14ac:dyDescent="0.25">
      <c r="B66" s="148"/>
      <c r="C66" s="148"/>
      <c r="D66" s="149"/>
    </row>
    <row r="67" spans="2:4" s="150" customFormat="1" ht="27" customHeight="1" x14ac:dyDescent="0.25">
      <c r="B67" s="148"/>
      <c r="C67" s="148"/>
      <c r="D67" s="149"/>
    </row>
    <row r="68" spans="2:4" s="150" customFormat="1" ht="27" customHeight="1" x14ac:dyDescent="0.25">
      <c r="B68" s="148"/>
      <c r="C68" s="148"/>
      <c r="D68" s="149"/>
    </row>
    <row r="69" spans="2:4" s="150" customFormat="1" ht="27" customHeight="1" x14ac:dyDescent="0.25">
      <c r="B69" s="148"/>
      <c r="C69" s="148"/>
      <c r="D69" s="149"/>
    </row>
    <row r="70" spans="2:4" s="150" customFormat="1" ht="27" customHeight="1" x14ac:dyDescent="0.25">
      <c r="B70" s="148"/>
      <c r="C70" s="148"/>
      <c r="D70" s="149"/>
    </row>
    <row r="71" spans="2:4" s="150" customFormat="1" ht="27" customHeight="1" x14ac:dyDescent="0.25">
      <c r="B71" s="148"/>
      <c r="C71" s="148"/>
      <c r="D71" s="149"/>
    </row>
    <row r="72" spans="2:4" s="150" customFormat="1" ht="27" customHeight="1" x14ac:dyDescent="0.25">
      <c r="B72" s="148"/>
      <c r="C72" s="148"/>
      <c r="D72" s="149"/>
    </row>
    <row r="73" spans="2:4" s="150" customFormat="1" ht="27" customHeight="1" x14ac:dyDescent="0.25">
      <c r="B73" s="148"/>
      <c r="C73" s="148"/>
      <c r="D73" s="149"/>
    </row>
    <row r="74" spans="2:4" s="150" customFormat="1" ht="27" customHeight="1" x14ac:dyDescent="0.25">
      <c r="B74" s="148"/>
      <c r="C74" s="148"/>
      <c r="D74" s="149"/>
    </row>
    <row r="75" spans="2:4" s="150" customFormat="1" ht="27" customHeight="1" x14ac:dyDescent="0.25">
      <c r="B75" s="148"/>
      <c r="C75" s="148"/>
      <c r="D75" s="149"/>
    </row>
    <row r="76" spans="2:4" s="150" customFormat="1" ht="27" customHeight="1" x14ac:dyDescent="0.25">
      <c r="B76" s="148"/>
      <c r="C76" s="148"/>
      <c r="D76" s="149"/>
    </row>
    <row r="77" spans="2:4" s="150" customFormat="1" ht="27" customHeight="1" x14ac:dyDescent="0.25">
      <c r="B77" s="148"/>
      <c r="C77" s="148"/>
      <c r="D77" s="149"/>
    </row>
    <row r="78" spans="2:4" s="150" customFormat="1" ht="27" customHeight="1" x14ac:dyDescent="0.25">
      <c r="B78" s="148"/>
      <c r="C78" s="148"/>
      <c r="D78" s="149"/>
    </row>
    <row r="79" spans="2:4" s="150" customFormat="1" ht="27" customHeight="1" x14ac:dyDescent="0.25">
      <c r="B79" s="148"/>
      <c r="C79" s="148"/>
      <c r="D79" s="149"/>
    </row>
    <row r="80" spans="2:4" s="150" customFormat="1" ht="27" customHeight="1" x14ac:dyDescent="0.25">
      <c r="B80" s="148"/>
      <c r="C80" s="148"/>
      <c r="D80" s="149"/>
    </row>
    <row r="81" spans="2:4" s="150" customFormat="1" ht="27" customHeight="1" x14ac:dyDescent="0.25">
      <c r="B81" s="148"/>
      <c r="C81" s="148"/>
      <c r="D81" s="149"/>
    </row>
    <row r="82" spans="2:4" s="150" customFormat="1" ht="27" customHeight="1" x14ac:dyDescent="0.25">
      <c r="B82" s="148"/>
      <c r="C82" s="148"/>
      <c r="D82" s="149"/>
    </row>
    <row r="83" spans="2:4" s="150" customFormat="1" ht="27" customHeight="1" x14ac:dyDescent="0.25">
      <c r="B83" s="148"/>
      <c r="C83" s="148"/>
      <c r="D83" s="149"/>
    </row>
    <row r="84" spans="2:4" s="150" customFormat="1" ht="27" customHeight="1" x14ac:dyDescent="0.25">
      <c r="B84" s="148"/>
      <c r="C84" s="148"/>
      <c r="D84" s="149"/>
    </row>
    <row r="85" spans="2:4" s="150" customFormat="1" ht="27" customHeight="1" x14ac:dyDescent="0.25">
      <c r="B85" s="148"/>
      <c r="C85" s="148"/>
      <c r="D85" s="149"/>
    </row>
    <row r="86" spans="2:4" s="150" customFormat="1" ht="27" customHeight="1" x14ac:dyDescent="0.25">
      <c r="B86" s="148"/>
      <c r="C86" s="148"/>
      <c r="D86" s="149"/>
    </row>
    <row r="87" spans="2:4" s="150" customFormat="1" ht="27" customHeight="1" x14ac:dyDescent="0.25">
      <c r="B87" s="148"/>
      <c r="C87" s="148"/>
      <c r="D87" s="149"/>
    </row>
    <row r="88" spans="2:4" s="150" customFormat="1" ht="27" customHeight="1" x14ac:dyDescent="0.25">
      <c r="B88" s="148"/>
      <c r="C88" s="148"/>
      <c r="D88" s="149"/>
    </row>
    <row r="89" spans="2:4" s="150" customFormat="1" ht="27" customHeight="1" x14ac:dyDescent="0.25">
      <c r="B89" s="148"/>
      <c r="C89" s="148"/>
      <c r="D89" s="149"/>
    </row>
    <row r="90" spans="2:4" s="150" customFormat="1" ht="27" customHeight="1" x14ac:dyDescent="0.25">
      <c r="B90" s="148"/>
      <c r="C90" s="148"/>
      <c r="D90" s="149"/>
    </row>
    <row r="91" spans="2:4" s="150" customFormat="1" ht="27" customHeight="1" x14ac:dyDescent="0.25">
      <c r="B91" s="148"/>
      <c r="C91" s="148"/>
      <c r="D91" s="149"/>
    </row>
    <row r="92" spans="2:4" s="150" customFormat="1" ht="27" customHeight="1" x14ac:dyDescent="0.25">
      <c r="B92" s="148"/>
      <c r="C92" s="148"/>
      <c r="D92" s="149"/>
    </row>
    <row r="93" spans="2:4" s="150" customFormat="1" ht="27" customHeight="1" x14ac:dyDescent="0.25">
      <c r="B93" s="148"/>
      <c r="C93" s="148"/>
      <c r="D93" s="149"/>
    </row>
    <row r="94" spans="2:4" s="150" customFormat="1" ht="27" customHeight="1" x14ac:dyDescent="0.25">
      <c r="B94" s="148"/>
      <c r="C94" s="148"/>
      <c r="D94" s="149"/>
    </row>
    <row r="95" spans="2:4" s="150" customFormat="1" ht="27" customHeight="1" x14ac:dyDescent="0.25">
      <c r="B95" s="148"/>
      <c r="C95" s="148"/>
      <c r="D95" s="149"/>
    </row>
    <row r="96" spans="2:4" s="150" customFormat="1" ht="27" customHeight="1" x14ac:dyDescent="0.25">
      <c r="B96" s="148"/>
      <c r="C96" s="148"/>
      <c r="D96" s="149"/>
    </row>
  </sheetData>
  <sheetProtection sheet="1" formatCells="0" formatColumns="0" formatRows="0" insertRows="0" sort="0"/>
  <mergeCells count="6">
    <mergeCell ref="B2:L2"/>
    <mergeCell ref="B3:L4"/>
    <mergeCell ref="E41:G41"/>
    <mergeCell ref="J41:L41"/>
    <mergeCell ref="E42:H42"/>
    <mergeCell ref="J42:L42"/>
  </mergeCells>
  <conditionalFormatting sqref="B7:L7 E8:L33 B34:L39 B8:C33">
    <cfRule type="expression" dxfId="8" priority="5">
      <formula>$H7=1</formula>
    </cfRule>
  </conditionalFormatting>
  <conditionalFormatting sqref="D8:D33">
    <cfRule type="expression" dxfId="7" priority="1">
      <formula>$H8=1</formula>
    </cfRule>
  </conditionalFormatting>
  <conditionalFormatting sqref="E7:L39">
    <cfRule type="expression" dxfId="6" priority="2">
      <formula>$H7=1</formula>
    </cfRule>
  </conditionalFormatting>
  <conditionalFormatting sqref="I7:I39">
    <cfRule type="expression" dxfId="5" priority="3">
      <formula>$G7=TRUE</formula>
    </cfRule>
  </conditionalFormatting>
  <conditionalFormatting sqref="J7:L39">
    <cfRule type="expression" dxfId="4" priority="4">
      <formula>$G7=FALSE</formula>
    </cfRule>
  </conditionalFormatting>
  <dataValidations count="2">
    <dataValidation allowBlank="1" showInputMessage="1" showErrorMessage="1" prompt="Nome do Responsável pela VERIFICAÇÃO da Execução da Ação" sqref="F34:F39" xr:uid="{76E73C54-C27E-416F-9BF3-17538BE14B1D}"/>
    <dataValidation allowBlank="1" showInputMessage="1" showErrorMessage="1" prompt="Nome do Responsável pela Ação" sqref="E34:E39" xr:uid="{175E5C6F-E2AA-4A83-B2A2-D800E0683663}"/>
  </dataValidations>
  <printOptions horizontalCentered="1"/>
  <pageMargins left="0.31496062992125984" right="0.31496062992125984" top="0.31496062992125984" bottom="0.43307086614173229" header="0.19685039370078741" footer="0.19685039370078741"/>
  <pageSetup paperSize="9" scale="63" fitToHeight="0" orientation="portrait" r:id="rId1"/>
  <headerFooter>
    <oddFooter>&amp;L&amp;12&amp;K0000FF&amp;A&amp;C&amp;12&amp;K0000FFPágina &amp;P de &amp;N&amp;R&amp;12&amp;K0000FFImpresso em: &amp;D &amp;T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F2416-9640-405D-AE59-121E2372CEC1}">
          <x14:formula1>
            <xm:f>Auxiliar!$B$3:$B$20</xm:f>
          </x14:formula1>
          <xm:sqref>B7:B39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FAF1-2A93-4F29-9326-18B1EFE736DC}">
  <sheetPr codeName="Planilha7"/>
  <dimension ref="B1:I49"/>
  <sheetViews>
    <sheetView zoomScale="85" zoomScaleNormal="85" workbookViewId="0">
      <selection activeCell="C7" sqref="C7"/>
    </sheetView>
  </sheetViews>
  <sheetFormatPr defaultRowHeight="27" customHeight="1" x14ac:dyDescent="0.15"/>
  <cols>
    <col min="1" max="1" width="1.42578125" style="56" customWidth="1"/>
    <col min="2" max="2" width="7" style="53" customWidth="1"/>
    <col min="3" max="3" width="49.5703125" style="54" customWidth="1"/>
    <col min="4" max="6" width="61.140625" style="55" customWidth="1"/>
    <col min="7" max="7" width="13.28515625" style="56" customWidth="1"/>
    <col min="8" max="8" width="21.42578125" style="56" customWidth="1"/>
    <col min="9" max="257" width="9.140625" style="56"/>
    <col min="258" max="258" width="7" style="56" customWidth="1"/>
    <col min="259" max="259" width="22" style="56" customWidth="1"/>
    <col min="260" max="260" width="17.5703125" style="56" customWidth="1"/>
    <col min="261" max="261" width="18.7109375" style="56" customWidth="1"/>
    <col min="262" max="262" width="19.42578125" style="56" customWidth="1"/>
    <col min="263" max="263" width="13.28515625" style="56" customWidth="1"/>
    <col min="264" max="264" width="21.42578125" style="56" customWidth="1"/>
    <col min="265" max="513" width="9.140625" style="56"/>
    <col min="514" max="514" width="7" style="56" customWidth="1"/>
    <col min="515" max="515" width="22" style="56" customWidth="1"/>
    <col min="516" max="516" width="17.5703125" style="56" customWidth="1"/>
    <col min="517" max="517" width="18.7109375" style="56" customWidth="1"/>
    <col min="518" max="518" width="19.42578125" style="56" customWidth="1"/>
    <col min="519" max="519" width="13.28515625" style="56" customWidth="1"/>
    <col min="520" max="520" width="21.42578125" style="56" customWidth="1"/>
    <col min="521" max="769" width="9.140625" style="56"/>
    <col min="770" max="770" width="7" style="56" customWidth="1"/>
    <col min="771" max="771" width="22" style="56" customWidth="1"/>
    <col min="772" max="772" width="17.5703125" style="56" customWidth="1"/>
    <col min="773" max="773" width="18.7109375" style="56" customWidth="1"/>
    <col min="774" max="774" width="19.42578125" style="56" customWidth="1"/>
    <col min="775" max="775" width="13.28515625" style="56" customWidth="1"/>
    <col min="776" max="776" width="21.42578125" style="56" customWidth="1"/>
    <col min="777" max="1025" width="9.140625" style="56"/>
    <col min="1026" max="1026" width="7" style="56" customWidth="1"/>
    <col min="1027" max="1027" width="22" style="56" customWidth="1"/>
    <col min="1028" max="1028" width="17.5703125" style="56" customWidth="1"/>
    <col min="1029" max="1029" width="18.7109375" style="56" customWidth="1"/>
    <col min="1030" max="1030" width="19.42578125" style="56" customWidth="1"/>
    <col min="1031" max="1031" width="13.28515625" style="56" customWidth="1"/>
    <col min="1032" max="1032" width="21.42578125" style="56" customWidth="1"/>
    <col min="1033" max="1281" width="9.140625" style="56"/>
    <col min="1282" max="1282" width="7" style="56" customWidth="1"/>
    <col min="1283" max="1283" width="22" style="56" customWidth="1"/>
    <col min="1284" max="1284" width="17.5703125" style="56" customWidth="1"/>
    <col min="1285" max="1285" width="18.7109375" style="56" customWidth="1"/>
    <col min="1286" max="1286" width="19.42578125" style="56" customWidth="1"/>
    <col min="1287" max="1287" width="13.28515625" style="56" customWidth="1"/>
    <col min="1288" max="1288" width="21.42578125" style="56" customWidth="1"/>
    <col min="1289" max="1537" width="9.140625" style="56"/>
    <col min="1538" max="1538" width="7" style="56" customWidth="1"/>
    <col min="1539" max="1539" width="22" style="56" customWidth="1"/>
    <col min="1540" max="1540" width="17.5703125" style="56" customWidth="1"/>
    <col min="1541" max="1541" width="18.7109375" style="56" customWidth="1"/>
    <col min="1542" max="1542" width="19.42578125" style="56" customWidth="1"/>
    <col min="1543" max="1543" width="13.28515625" style="56" customWidth="1"/>
    <col min="1544" max="1544" width="21.42578125" style="56" customWidth="1"/>
    <col min="1545" max="1793" width="9.140625" style="56"/>
    <col min="1794" max="1794" width="7" style="56" customWidth="1"/>
    <col min="1795" max="1795" width="22" style="56" customWidth="1"/>
    <col min="1796" max="1796" width="17.5703125" style="56" customWidth="1"/>
    <col min="1797" max="1797" width="18.7109375" style="56" customWidth="1"/>
    <col min="1798" max="1798" width="19.42578125" style="56" customWidth="1"/>
    <col min="1799" max="1799" width="13.28515625" style="56" customWidth="1"/>
    <col min="1800" max="1800" width="21.42578125" style="56" customWidth="1"/>
    <col min="1801" max="2049" width="9.140625" style="56"/>
    <col min="2050" max="2050" width="7" style="56" customWidth="1"/>
    <col min="2051" max="2051" width="22" style="56" customWidth="1"/>
    <col min="2052" max="2052" width="17.5703125" style="56" customWidth="1"/>
    <col min="2053" max="2053" width="18.7109375" style="56" customWidth="1"/>
    <col min="2054" max="2054" width="19.42578125" style="56" customWidth="1"/>
    <col min="2055" max="2055" width="13.28515625" style="56" customWidth="1"/>
    <col min="2056" max="2056" width="21.42578125" style="56" customWidth="1"/>
    <col min="2057" max="2305" width="9.140625" style="56"/>
    <col min="2306" max="2306" width="7" style="56" customWidth="1"/>
    <col min="2307" max="2307" width="22" style="56" customWidth="1"/>
    <col min="2308" max="2308" width="17.5703125" style="56" customWidth="1"/>
    <col min="2309" max="2309" width="18.7109375" style="56" customWidth="1"/>
    <col min="2310" max="2310" width="19.42578125" style="56" customWidth="1"/>
    <col min="2311" max="2311" width="13.28515625" style="56" customWidth="1"/>
    <col min="2312" max="2312" width="21.42578125" style="56" customWidth="1"/>
    <col min="2313" max="2561" width="9.140625" style="56"/>
    <col min="2562" max="2562" width="7" style="56" customWidth="1"/>
    <col min="2563" max="2563" width="22" style="56" customWidth="1"/>
    <col min="2564" max="2564" width="17.5703125" style="56" customWidth="1"/>
    <col min="2565" max="2565" width="18.7109375" style="56" customWidth="1"/>
    <col min="2566" max="2566" width="19.42578125" style="56" customWidth="1"/>
    <col min="2567" max="2567" width="13.28515625" style="56" customWidth="1"/>
    <col min="2568" max="2568" width="21.42578125" style="56" customWidth="1"/>
    <col min="2569" max="2817" width="9.140625" style="56"/>
    <col min="2818" max="2818" width="7" style="56" customWidth="1"/>
    <col min="2819" max="2819" width="22" style="56" customWidth="1"/>
    <col min="2820" max="2820" width="17.5703125" style="56" customWidth="1"/>
    <col min="2821" max="2821" width="18.7109375" style="56" customWidth="1"/>
    <col min="2822" max="2822" width="19.42578125" style="56" customWidth="1"/>
    <col min="2823" max="2823" width="13.28515625" style="56" customWidth="1"/>
    <col min="2824" max="2824" width="21.42578125" style="56" customWidth="1"/>
    <col min="2825" max="3073" width="9.140625" style="56"/>
    <col min="3074" max="3074" width="7" style="56" customWidth="1"/>
    <col min="3075" max="3075" width="22" style="56" customWidth="1"/>
    <col min="3076" max="3076" width="17.5703125" style="56" customWidth="1"/>
    <col min="3077" max="3077" width="18.7109375" style="56" customWidth="1"/>
    <col min="3078" max="3078" width="19.42578125" style="56" customWidth="1"/>
    <col min="3079" max="3079" width="13.28515625" style="56" customWidth="1"/>
    <col min="3080" max="3080" width="21.42578125" style="56" customWidth="1"/>
    <col min="3081" max="3329" width="9.140625" style="56"/>
    <col min="3330" max="3330" width="7" style="56" customWidth="1"/>
    <col min="3331" max="3331" width="22" style="56" customWidth="1"/>
    <col min="3332" max="3332" width="17.5703125" style="56" customWidth="1"/>
    <col min="3333" max="3333" width="18.7109375" style="56" customWidth="1"/>
    <col min="3334" max="3334" width="19.42578125" style="56" customWidth="1"/>
    <col min="3335" max="3335" width="13.28515625" style="56" customWidth="1"/>
    <col min="3336" max="3336" width="21.42578125" style="56" customWidth="1"/>
    <col min="3337" max="3585" width="9.140625" style="56"/>
    <col min="3586" max="3586" width="7" style="56" customWidth="1"/>
    <col min="3587" max="3587" width="22" style="56" customWidth="1"/>
    <col min="3588" max="3588" width="17.5703125" style="56" customWidth="1"/>
    <col min="3589" max="3589" width="18.7109375" style="56" customWidth="1"/>
    <col min="3590" max="3590" width="19.42578125" style="56" customWidth="1"/>
    <col min="3591" max="3591" width="13.28515625" style="56" customWidth="1"/>
    <col min="3592" max="3592" width="21.42578125" style="56" customWidth="1"/>
    <col min="3593" max="3841" width="9.140625" style="56"/>
    <col min="3842" max="3842" width="7" style="56" customWidth="1"/>
    <col min="3843" max="3843" width="22" style="56" customWidth="1"/>
    <col min="3844" max="3844" width="17.5703125" style="56" customWidth="1"/>
    <col min="3845" max="3845" width="18.7109375" style="56" customWidth="1"/>
    <col min="3846" max="3846" width="19.42578125" style="56" customWidth="1"/>
    <col min="3847" max="3847" width="13.28515625" style="56" customWidth="1"/>
    <col min="3848" max="3848" width="21.42578125" style="56" customWidth="1"/>
    <col min="3849" max="4097" width="9.140625" style="56"/>
    <col min="4098" max="4098" width="7" style="56" customWidth="1"/>
    <col min="4099" max="4099" width="22" style="56" customWidth="1"/>
    <col min="4100" max="4100" width="17.5703125" style="56" customWidth="1"/>
    <col min="4101" max="4101" width="18.7109375" style="56" customWidth="1"/>
    <col min="4102" max="4102" width="19.42578125" style="56" customWidth="1"/>
    <col min="4103" max="4103" width="13.28515625" style="56" customWidth="1"/>
    <col min="4104" max="4104" width="21.42578125" style="56" customWidth="1"/>
    <col min="4105" max="4353" width="9.140625" style="56"/>
    <col min="4354" max="4354" width="7" style="56" customWidth="1"/>
    <col min="4355" max="4355" width="22" style="56" customWidth="1"/>
    <col min="4356" max="4356" width="17.5703125" style="56" customWidth="1"/>
    <col min="4357" max="4357" width="18.7109375" style="56" customWidth="1"/>
    <col min="4358" max="4358" width="19.42578125" style="56" customWidth="1"/>
    <col min="4359" max="4359" width="13.28515625" style="56" customWidth="1"/>
    <col min="4360" max="4360" width="21.42578125" style="56" customWidth="1"/>
    <col min="4361" max="4609" width="9.140625" style="56"/>
    <col min="4610" max="4610" width="7" style="56" customWidth="1"/>
    <col min="4611" max="4611" width="22" style="56" customWidth="1"/>
    <col min="4612" max="4612" width="17.5703125" style="56" customWidth="1"/>
    <col min="4613" max="4613" width="18.7109375" style="56" customWidth="1"/>
    <col min="4614" max="4614" width="19.42578125" style="56" customWidth="1"/>
    <col min="4615" max="4615" width="13.28515625" style="56" customWidth="1"/>
    <col min="4616" max="4616" width="21.42578125" style="56" customWidth="1"/>
    <col min="4617" max="4865" width="9.140625" style="56"/>
    <col min="4866" max="4866" width="7" style="56" customWidth="1"/>
    <col min="4867" max="4867" width="22" style="56" customWidth="1"/>
    <col min="4868" max="4868" width="17.5703125" style="56" customWidth="1"/>
    <col min="4869" max="4869" width="18.7109375" style="56" customWidth="1"/>
    <col min="4870" max="4870" width="19.42578125" style="56" customWidth="1"/>
    <col min="4871" max="4871" width="13.28515625" style="56" customWidth="1"/>
    <col min="4872" max="4872" width="21.42578125" style="56" customWidth="1"/>
    <col min="4873" max="5121" width="9.140625" style="56"/>
    <col min="5122" max="5122" width="7" style="56" customWidth="1"/>
    <col min="5123" max="5123" width="22" style="56" customWidth="1"/>
    <col min="5124" max="5124" width="17.5703125" style="56" customWidth="1"/>
    <col min="5125" max="5125" width="18.7109375" style="56" customWidth="1"/>
    <col min="5126" max="5126" width="19.42578125" style="56" customWidth="1"/>
    <col min="5127" max="5127" width="13.28515625" style="56" customWidth="1"/>
    <col min="5128" max="5128" width="21.42578125" style="56" customWidth="1"/>
    <col min="5129" max="5377" width="9.140625" style="56"/>
    <col min="5378" max="5378" width="7" style="56" customWidth="1"/>
    <col min="5379" max="5379" width="22" style="56" customWidth="1"/>
    <col min="5380" max="5380" width="17.5703125" style="56" customWidth="1"/>
    <col min="5381" max="5381" width="18.7109375" style="56" customWidth="1"/>
    <col min="5382" max="5382" width="19.42578125" style="56" customWidth="1"/>
    <col min="5383" max="5383" width="13.28515625" style="56" customWidth="1"/>
    <col min="5384" max="5384" width="21.42578125" style="56" customWidth="1"/>
    <col min="5385" max="5633" width="9.140625" style="56"/>
    <col min="5634" max="5634" width="7" style="56" customWidth="1"/>
    <col min="5635" max="5635" width="22" style="56" customWidth="1"/>
    <col min="5636" max="5636" width="17.5703125" style="56" customWidth="1"/>
    <col min="5637" max="5637" width="18.7109375" style="56" customWidth="1"/>
    <col min="5638" max="5638" width="19.42578125" style="56" customWidth="1"/>
    <col min="5639" max="5639" width="13.28515625" style="56" customWidth="1"/>
    <col min="5640" max="5640" width="21.42578125" style="56" customWidth="1"/>
    <col min="5641" max="5889" width="9.140625" style="56"/>
    <col min="5890" max="5890" width="7" style="56" customWidth="1"/>
    <col min="5891" max="5891" width="22" style="56" customWidth="1"/>
    <col min="5892" max="5892" width="17.5703125" style="56" customWidth="1"/>
    <col min="5893" max="5893" width="18.7109375" style="56" customWidth="1"/>
    <col min="5894" max="5894" width="19.42578125" style="56" customWidth="1"/>
    <col min="5895" max="5895" width="13.28515625" style="56" customWidth="1"/>
    <col min="5896" max="5896" width="21.42578125" style="56" customWidth="1"/>
    <col min="5897" max="6145" width="9.140625" style="56"/>
    <col min="6146" max="6146" width="7" style="56" customWidth="1"/>
    <col min="6147" max="6147" width="22" style="56" customWidth="1"/>
    <col min="6148" max="6148" width="17.5703125" style="56" customWidth="1"/>
    <col min="6149" max="6149" width="18.7109375" style="56" customWidth="1"/>
    <col min="6150" max="6150" width="19.42578125" style="56" customWidth="1"/>
    <col min="6151" max="6151" width="13.28515625" style="56" customWidth="1"/>
    <col min="6152" max="6152" width="21.42578125" style="56" customWidth="1"/>
    <col min="6153" max="6401" width="9.140625" style="56"/>
    <col min="6402" max="6402" width="7" style="56" customWidth="1"/>
    <col min="6403" max="6403" width="22" style="56" customWidth="1"/>
    <col min="6404" max="6404" width="17.5703125" style="56" customWidth="1"/>
    <col min="6405" max="6405" width="18.7109375" style="56" customWidth="1"/>
    <col min="6406" max="6406" width="19.42578125" style="56" customWidth="1"/>
    <col min="6407" max="6407" width="13.28515625" style="56" customWidth="1"/>
    <col min="6408" max="6408" width="21.42578125" style="56" customWidth="1"/>
    <col min="6409" max="6657" width="9.140625" style="56"/>
    <col min="6658" max="6658" width="7" style="56" customWidth="1"/>
    <col min="6659" max="6659" width="22" style="56" customWidth="1"/>
    <col min="6660" max="6660" width="17.5703125" style="56" customWidth="1"/>
    <col min="6661" max="6661" width="18.7109375" style="56" customWidth="1"/>
    <col min="6662" max="6662" width="19.42578125" style="56" customWidth="1"/>
    <col min="6663" max="6663" width="13.28515625" style="56" customWidth="1"/>
    <col min="6664" max="6664" width="21.42578125" style="56" customWidth="1"/>
    <col min="6665" max="6913" width="9.140625" style="56"/>
    <col min="6914" max="6914" width="7" style="56" customWidth="1"/>
    <col min="6915" max="6915" width="22" style="56" customWidth="1"/>
    <col min="6916" max="6916" width="17.5703125" style="56" customWidth="1"/>
    <col min="6917" max="6917" width="18.7109375" style="56" customWidth="1"/>
    <col min="6918" max="6918" width="19.42578125" style="56" customWidth="1"/>
    <col min="6919" max="6919" width="13.28515625" style="56" customWidth="1"/>
    <col min="6920" max="6920" width="21.42578125" style="56" customWidth="1"/>
    <col min="6921" max="7169" width="9.140625" style="56"/>
    <col min="7170" max="7170" width="7" style="56" customWidth="1"/>
    <col min="7171" max="7171" width="22" style="56" customWidth="1"/>
    <col min="7172" max="7172" width="17.5703125" style="56" customWidth="1"/>
    <col min="7173" max="7173" width="18.7109375" style="56" customWidth="1"/>
    <col min="7174" max="7174" width="19.42578125" style="56" customWidth="1"/>
    <col min="7175" max="7175" width="13.28515625" style="56" customWidth="1"/>
    <col min="7176" max="7176" width="21.42578125" style="56" customWidth="1"/>
    <col min="7177" max="7425" width="9.140625" style="56"/>
    <col min="7426" max="7426" width="7" style="56" customWidth="1"/>
    <col min="7427" max="7427" width="22" style="56" customWidth="1"/>
    <col min="7428" max="7428" width="17.5703125" style="56" customWidth="1"/>
    <col min="7429" max="7429" width="18.7109375" style="56" customWidth="1"/>
    <col min="7430" max="7430" width="19.42578125" style="56" customWidth="1"/>
    <col min="7431" max="7431" width="13.28515625" style="56" customWidth="1"/>
    <col min="7432" max="7432" width="21.42578125" style="56" customWidth="1"/>
    <col min="7433" max="7681" width="9.140625" style="56"/>
    <col min="7682" max="7682" width="7" style="56" customWidth="1"/>
    <col min="7683" max="7683" width="22" style="56" customWidth="1"/>
    <col min="7684" max="7684" width="17.5703125" style="56" customWidth="1"/>
    <col min="7685" max="7685" width="18.7109375" style="56" customWidth="1"/>
    <col min="7686" max="7686" width="19.42578125" style="56" customWidth="1"/>
    <col min="7687" max="7687" width="13.28515625" style="56" customWidth="1"/>
    <col min="7688" max="7688" width="21.42578125" style="56" customWidth="1"/>
    <col min="7689" max="7937" width="9.140625" style="56"/>
    <col min="7938" max="7938" width="7" style="56" customWidth="1"/>
    <col min="7939" max="7939" width="22" style="56" customWidth="1"/>
    <col min="7940" max="7940" width="17.5703125" style="56" customWidth="1"/>
    <col min="7941" max="7941" width="18.7109375" style="56" customWidth="1"/>
    <col min="7942" max="7942" width="19.42578125" style="56" customWidth="1"/>
    <col min="7943" max="7943" width="13.28515625" style="56" customWidth="1"/>
    <col min="7944" max="7944" width="21.42578125" style="56" customWidth="1"/>
    <col min="7945" max="8193" width="9.140625" style="56"/>
    <col min="8194" max="8194" width="7" style="56" customWidth="1"/>
    <col min="8195" max="8195" width="22" style="56" customWidth="1"/>
    <col min="8196" max="8196" width="17.5703125" style="56" customWidth="1"/>
    <col min="8197" max="8197" width="18.7109375" style="56" customWidth="1"/>
    <col min="8198" max="8198" width="19.42578125" style="56" customWidth="1"/>
    <col min="8199" max="8199" width="13.28515625" style="56" customWidth="1"/>
    <col min="8200" max="8200" width="21.42578125" style="56" customWidth="1"/>
    <col min="8201" max="8449" width="9.140625" style="56"/>
    <col min="8450" max="8450" width="7" style="56" customWidth="1"/>
    <col min="8451" max="8451" width="22" style="56" customWidth="1"/>
    <col min="8452" max="8452" width="17.5703125" style="56" customWidth="1"/>
    <col min="8453" max="8453" width="18.7109375" style="56" customWidth="1"/>
    <col min="8454" max="8454" width="19.42578125" style="56" customWidth="1"/>
    <col min="8455" max="8455" width="13.28515625" style="56" customWidth="1"/>
    <col min="8456" max="8456" width="21.42578125" style="56" customWidth="1"/>
    <col min="8457" max="8705" width="9.140625" style="56"/>
    <col min="8706" max="8706" width="7" style="56" customWidth="1"/>
    <col min="8707" max="8707" width="22" style="56" customWidth="1"/>
    <col min="8708" max="8708" width="17.5703125" style="56" customWidth="1"/>
    <col min="8709" max="8709" width="18.7109375" style="56" customWidth="1"/>
    <col min="8710" max="8710" width="19.42578125" style="56" customWidth="1"/>
    <col min="8711" max="8711" width="13.28515625" style="56" customWidth="1"/>
    <col min="8712" max="8712" width="21.42578125" style="56" customWidth="1"/>
    <col min="8713" max="8961" width="9.140625" style="56"/>
    <col min="8962" max="8962" width="7" style="56" customWidth="1"/>
    <col min="8963" max="8963" width="22" style="56" customWidth="1"/>
    <col min="8964" max="8964" width="17.5703125" style="56" customWidth="1"/>
    <col min="8965" max="8965" width="18.7109375" style="56" customWidth="1"/>
    <col min="8966" max="8966" width="19.42578125" style="56" customWidth="1"/>
    <col min="8967" max="8967" width="13.28515625" style="56" customWidth="1"/>
    <col min="8968" max="8968" width="21.42578125" style="56" customWidth="1"/>
    <col min="8969" max="9217" width="9.140625" style="56"/>
    <col min="9218" max="9218" width="7" style="56" customWidth="1"/>
    <col min="9219" max="9219" width="22" style="56" customWidth="1"/>
    <col min="9220" max="9220" width="17.5703125" style="56" customWidth="1"/>
    <col min="9221" max="9221" width="18.7109375" style="56" customWidth="1"/>
    <col min="9222" max="9222" width="19.42578125" style="56" customWidth="1"/>
    <col min="9223" max="9223" width="13.28515625" style="56" customWidth="1"/>
    <col min="9224" max="9224" width="21.42578125" style="56" customWidth="1"/>
    <col min="9225" max="9473" width="9.140625" style="56"/>
    <col min="9474" max="9474" width="7" style="56" customWidth="1"/>
    <col min="9475" max="9475" width="22" style="56" customWidth="1"/>
    <col min="9476" max="9476" width="17.5703125" style="56" customWidth="1"/>
    <col min="9477" max="9477" width="18.7109375" style="56" customWidth="1"/>
    <col min="9478" max="9478" width="19.42578125" style="56" customWidth="1"/>
    <col min="9479" max="9479" width="13.28515625" style="56" customWidth="1"/>
    <col min="9480" max="9480" width="21.42578125" style="56" customWidth="1"/>
    <col min="9481" max="9729" width="9.140625" style="56"/>
    <col min="9730" max="9730" width="7" style="56" customWidth="1"/>
    <col min="9731" max="9731" width="22" style="56" customWidth="1"/>
    <col min="9732" max="9732" width="17.5703125" style="56" customWidth="1"/>
    <col min="9733" max="9733" width="18.7109375" style="56" customWidth="1"/>
    <col min="9734" max="9734" width="19.42578125" style="56" customWidth="1"/>
    <col min="9735" max="9735" width="13.28515625" style="56" customWidth="1"/>
    <col min="9736" max="9736" width="21.42578125" style="56" customWidth="1"/>
    <col min="9737" max="9985" width="9.140625" style="56"/>
    <col min="9986" max="9986" width="7" style="56" customWidth="1"/>
    <col min="9987" max="9987" width="22" style="56" customWidth="1"/>
    <col min="9988" max="9988" width="17.5703125" style="56" customWidth="1"/>
    <col min="9989" max="9989" width="18.7109375" style="56" customWidth="1"/>
    <col min="9990" max="9990" width="19.42578125" style="56" customWidth="1"/>
    <col min="9991" max="9991" width="13.28515625" style="56" customWidth="1"/>
    <col min="9992" max="9992" width="21.42578125" style="56" customWidth="1"/>
    <col min="9993" max="10241" width="9.140625" style="56"/>
    <col min="10242" max="10242" width="7" style="56" customWidth="1"/>
    <col min="10243" max="10243" width="22" style="56" customWidth="1"/>
    <col min="10244" max="10244" width="17.5703125" style="56" customWidth="1"/>
    <col min="10245" max="10245" width="18.7109375" style="56" customWidth="1"/>
    <col min="10246" max="10246" width="19.42578125" style="56" customWidth="1"/>
    <col min="10247" max="10247" width="13.28515625" style="56" customWidth="1"/>
    <col min="10248" max="10248" width="21.42578125" style="56" customWidth="1"/>
    <col min="10249" max="10497" width="9.140625" style="56"/>
    <col min="10498" max="10498" width="7" style="56" customWidth="1"/>
    <col min="10499" max="10499" width="22" style="56" customWidth="1"/>
    <col min="10500" max="10500" width="17.5703125" style="56" customWidth="1"/>
    <col min="10501" max="10501" width="18.7109375" style="56" customWidth="1"/>
    <col min="10502" max="10502" width="19.42578125" style="56" customWidth="1"/>
    <col min="10503" max="10503" width="13.28515625" style="56" customWidth="1"/>
    <col min="10504" max="10504" width="21.42578125" style="56" customWidth="1"/>
    <col min="10505" max="10753" width="9.140625" style="56"/>
    <col min="10754" max="10754" width="7" style="56" customWidth="1"/>
    <col min="10755" max="10755" width="22" style="56" customWidth="1"/>
    <col min="10756" max="10756" width="17.5703125" style="56" customWidth="1"/>
    <col min="10757" max="10757" width="18.7109375" style="56" customWidth="1"/>
    <col min="10758" max="10758" width="19.42578125" style="56" customWidth="1"/>
    <col min="10759" max="10759" width="13.28515625" style="56" customWidth="1"/>
    <col min="10760" max="10760" width="21.42578125" style="56" customWidth="1"/>
    <col min="10761" max="11009" width="9.140625" style="56"/>
    <col min="11010" max="11010" width="7" style="56" customWidth="1"/>
    <col min="11011" max="11011" width="22" style="56" customWidth="1"/>
    <col min="11012" max="11012" width="17.5703125" style="56" customWidth="1"/>
    <col min="11013" max="11013" width="18.7109375" style="56" customWidth="1"/>
    <col min="11014" max="11014" width="19.42578125" style="56" customWidth="1"/>
    <col min="11015" max="11015" width="13.28515625" style="56" customWidth="1"/>
    <col min="11016" max="11016" width="21.42578125" style="56" customWidth="1"/>
    <col min="11017" max="11265" width="9.140625" style="56"/>
    <col min="11266" max="11266" width="7" style="56" customWidth="1"/>
    <col min="11267" max="11267" width="22" style="56" customWidth="1"/>
    <col min="11268" max="11268" width="17.5703125" style="56" customWidth="1"/>
    <col min="11269" max="11269" width="18.7109375" style="56" customWidth="1"/>
    <col min="11270" max="11270" width="19.42578125" style="56" customWidth="1"/>
    <col min="11271" max="11271" width="13.28515625" style="56" customWidth="1"/>
    <col min="11272" max="11272" width="21.42578125" style="56" customWidth="1"/>
    <col min="11273" max="11521" width="9.140625" style="56"/>
    <col min="11522" max="11522" width="7" style="56" customWidth="1"/>
    <col min="11523" max="11523" width="22" style="56" customWidth="1"/>
    <col min="11524" max="11524" width="17.5703125" style="56" customWidth="1"/>
    <col min="11525" max="11525" width="18.7109375" style="56" customWidth="1"/>
    <col min="11526" max="11526" width="19.42578125" style="56" customWidth="1"/>
    <col min="11527" max="11527" width="13.28515625" style="56" customWidth="1"/>
    <col min="11528" max="11528" width="21.42578125" style="56" customWidth="1"/>
    <col min="11529" max="11777" width="9.140625" style="56"/>
    <col min="11778" max="11778" width="7" style="56" customWidth="1"/>
    <col min="11779" max="11779" width="22" style="56" customWidth="1"/>
    <col min="11780" max="11780" width="17.5703125" style="56" customWidth="1"/>
    <col min="11781" max="11781" width="18.7109375" style="56" customWidth="1"/>
    <col min="11782" max="11782" width="19.42578125" style="56" customWidth="1"/>
    <col min="11783" max="11783" width="13.28515625" style="56" customWidth="1"/>
    <col min="11784" max="11784" width="21.42578125" style="56" customWidth="1"/>
    <col min="11785" max="12033" width="9.140625" style="56"/>
    <col min="12034" max="12034" width="7" style="56" customWidth="1"/>
    <col min="12035" max="12035" width="22" style="56" customWidth="1"/>
    <col min="12036" max="12036" width="17.5703125" style="56" customWidth="1"/>
    <col min="12037" max="12037" width="18.7109375" style="56" customWidth="1"/>
    <col min="12038" max="12038" width="19.42578125" style="56" customWidth="1"/>
    <col min="12039" max="12039" width="13.28515625" style="56" customWidth="1"/>
    <col min="12040" max="12040" width="21.42578125" style="56" customWidth="1"/>
    <col min="12041" max="12289" width="9.140625" style="56"/>
    <col min="12290" max="12290" width="7" style="56" customWidth="1"/>
    <col min="12291" max="12291" width="22" style="56" customWidth="1"/>
    <col min="12292" max="12292" width="17.5703125" style="56" customWidth="1"/>
    <col min="12293" max="12293" width="18.7109375" style="56" customWidth="1"/>
    <col min="12294" max="12294" width="19.42578125" style="56" customWidth="1"/>
    <col min="12295" max="12295" width="13.28515625" style="56" customWidth="1"/>
    <col min="12296" max="12296" width="21.42578125" style="56" customWidth="1"/>
    <col min="12297" max="12545" width="9.140625" style="56"/>
    <col min="12546" max="12546" width="7" style="56" customWidth="1"/>
    <col min="12547" max="12547" width="22" style="56" customWidth="1"/>
    <col min="12548" max="12548" width="17.5703125" style="56" customWidth="1"/>
    <col min="12549" max="12549" width="18.7109375" style="56" customWidth="1"/>
    <col min="12550" max="12550" width="19.42578125" style="56" customWidth="1"/>
    <col min="12551" max="12551" width="13.28515625" style="56" customWidth="1"/>
    <col min="12552" max="12552" width="21.42578125" style="56" customWidth="1"/>
    <col min="12553" max="12801" width="9.140625" style="56"/>
    <col min="12802" max="12802" width="7" style="56" customWidth="1"/>
    <col min="12803" max="12803" width="22" style="56" customWidth="1"/>
    <col min="12804" max="12804" width="17.5703125" style="56" customWidth="1"/>
    <col min="12805" max="12805" width="18.7109375" style="56" customWidth="1"/>
    <col min="12806" max="12806" width="19.42578125" style="56" customWidth="1"/>
    <col min="12807" max="12807" width="13.28515625" style="56" customWidth="1"/>
    <col min="12808" max="12808" width="21.42578125" style="56" customWidth="1"/>
    <col min="12809" max="13057" width="9.140625" style="56"/>
    <col min="13058" max="13058" width="7" style="56" customWidth="1"/>
    <col min="13059" max="13059" width="22" style="56" customWidth="1"/>
    <col min="13060" max="13060" width="17.5703125" style="56" customWidth="1"/>
    <col min="13061" max="13061" width="18.7109375" style="56" customWidth="1"/>
    <col min="13062" max="13062" width="19.42578125" style="56" customWidth="1"/>
    <col min="13063" max="13063" width="13.28515625" style="56" customWidth="1"/>
    <col min="13064" max="13064" width="21.42578125" style="56" customWidth="1"/>
    <col min="13065" max="13313" width="9.140625" style="56"/>
    <col min="13314" max="13314" width="7" style="56" customWidth="1"/>
    <col min="13315" max="13315" width="22" style="56" customWidth="1"/>
    <col min="13316" max="13316" width="17.5703125" style="56" customWidth="1"/>
    <col min="13317" max="13317" width="18.7109375" style="56" customWidth="1"/>
    <col min="13318" max="13318" width="19.42578125" style="56" customWidth="1"/>
    <col min="13319" max="13319" width="13.28515625" style="56" customWidth="1"/>
    <col min="13320" max="13320" width="21.42578125" style="56" customWidth="1"/>
    <col min="13321" max="13569" width="9.140625" style="56"/>
    <col min="13570" max="13570" width="7" style="56" customWidth="1"/>
    <col min="13571" max="13571" width="22" style="56" customWidth="1"/>
    <col min="13572" max="13572" width="17.5703125" style="56" customWidth="1"/>
    <col min="13573" max="13573" width="18.7109375" style="56" customWidth="1"/>
    <col min="13574" max="13574" width="19.42578125" style="56" customWidth="1"/>
    <col min="13575" max="13575" width="13.28515625" style="56" customWidth="1"/>
    <col min="13576" max="13576" width="21.42578125" style="56" customWidth="1"/>
    <col min="13577" max="13825" width="9.140625" style="56"/>
    <col min="13826" max="13826" width="7" style="56" customWidth="1"/>
    <col min="13827" max="13827" width="22" style="56" customWidth="1"/>
    <col min="13828" max="13828" width="17.5703125" style="56" customWidth="1"/>
    <col min="13829" max="13829" width="18.7109375" style="56" customWidth="1"/>
    <col min="13830" max="13830" width="19.42578125" style="56" customWidth="1"/>
    <col min="13831" max="13831" width="13.28515625" style="56" customWidth="1"/>
    <col min="13832" max="13832" width="21.42578125" style="56" customWidth="1"/>
    <col min="13833" max="14081" width="9.140625" style="56"/>
    <col min="14082" max="14082" width="7" style="56" customWidth="1"/>
    <col min="14083" max="14083" width="22" style="56" customWidth="1"/>
    <col min="14084" max="14084" width="17.5703125" style="56" customWidth="1"/>
    <col min="14085" max="14085" width="18.7109375" style="56" customWidth="1"/>
    <col min="14086" max="14086" width="19.42578125" style="56" customWidth="1"/>
    <col min="14087" max="14087" width="13.28515625" style="56" customWidth="1"/>
    <col min="14088" max="14088" width="21.42578125" style="56" customWidth="1"/>
    <col min="14089" max="14337" width="9.140625" style="56"/>
    <col min="14338" max="14338" width="7" style="56" customWidth="1"/>
    <col min="14339" max="14339" width="22" style="56" customWidth="1"/>
    <col min="14340" max="14340" width="17.5703125" style="56" customWidth="1"/>
    <col min="14341" max="14341" width="18.7109375" style="56" customWidth="1"/>
    <col min="14342" max="14342" width="19.42578125" style="56" customWidth="1"/>
    <col min="14343" max="14343" width="13.28515625" style="56" customWidth="1"/>
    <col min="14344" max="14344" width="21.42578125" style="56" customWidth="1"/>
    <col min="14345" max="14593" width="9.140625" style="56"/>
    <col min="14594" max="14594" width="7" style="56" customWidth="1"/>
    <col min="14595" max="14595" width="22" style="56" customWidth="1"/>
    <col min="14596" max="14596" width="17.5703125" style="56" customWidth="1"/>
    <col min="14597" max="14597" width="18.7109375" style="56" customWidth="1"/>
    <col min="14598" max="14598" width="19.42578125" style="56" customWidth="1"/>
    <col min="14599" max="14599" width="13.28515625" style="56" customWidth="1"/>
    <col min="14600" max="14600" width="21.42578125" style="56" customWidth="1"/>
    <col min="14601" max="14849" width="9.140625" style="56"/>
    <col min="14850" max="14850" width="7" style="56" customWidth="1"/>
    <col min="14851" max="14851" width="22" style="56" customWidth="1"/>
    <col min="14852" max="14852" width="17.5703125" style="56" customWidth="1"/>
    <col min="14853" max="14853" width="18.7109375" style="56" customWidth="1"/>
    <col min="14854" max="14854" width="19.42578125" style="56" customWidth="1"/>
    <col min="14855" max="14855" width="13.28515625" style="56" customWidth="1"/>
    <col min="14856" max="14856" width="21.42578125" style="56" customWidth="1"/>
    <col min="14857" max="15105" width="9.140625" style="56"/>
    <col min="15106" max="15106" width="7" style="56" customWidth="1"/>
    <col min="15107" max="15107" width="22" style="56" customWidth="1"/>
    <col min="15108" max="15108" width="17.5703125" style="56" customWidth="1"/>
    <col min="15109" max="15109" width="18.7109375" style="56" customWidth="1"/>
    <col min="15110" max="15110" width="19.42578125" style="56" customWidth="1"/>
    <col min="15111" max="15111" width="13.28515625" style="56" customWidth="1"/>
    <col min="15112" max="15112" width="21.42578125" style="56" customWidth="1"/>
    <col min="15113" max="15361" width="9.140625" style="56"/>
    <col min="15362" max="15362" width="7" style="56" customWidth="1"/>
    <col min="15363" max="15363" width="22" style="56" customWidth="1"/>
    <col min="15364" max="15364" width="17.5703125" style="56" customWidth="1"/>
    <col min="15365" max="15365" width="18.7109375" style="56" customWidth="1"/>
    <col min="15366" max="15366" width="19.42578125" style="56" customWidth="1"/>
    <col min="15367" max="15367" width="13.28515625" style="56" customWidth="1"/>
    <col min="15368" max="15368" width="21.42578125" style="56" customWidth="1"/>
    <col min="15369" max="15617" width="9.140625" style="56"/>
    <col min="15618" max="15618" width="7" style="56" customWidth="1"/>
    <col min="15619" max="15619" width="22" style="56" customWidth="1"/>
    <col min="15620" max="15620" width="17.5703125" style="56" customWidth="1"/>
    <col min="15621" max="15621" width="18.7109375" style="56" customWidth="1"/>
    <col min="15622" max="15622" width="19.42578125" style="56" customWidth="1"/>
    <col min="15623" max="15623" width="13.28515625" style="56" customWidth="1"/>
    <col min="15624" max="15624" width="21.42578125" style="56" customWidth="1"/>
    <col min="15625" max="15873" width="9.140625" style="56"/>
    <col min="15874" max="15874" width="7" style="56" customWidth="1"/>
    <col min="15875" max="15875" width="22" style="56" customWidth="1"/>
    <col min="15876" max="15876" width="17.5703125" style="56" customWidth="1"/>
    <col min="15877" max="15877" width="18.7109375" style="56" customWidth="1"/>
    <col min="15878" max="15878" width="19.42578125" style="56" customWidth="1"/>
    <col min="15879" max="15879" width="13.28515625" style="56" customWidth="1"/>
    <col min="15880" max="15880" width="21.42578125" style="56" customWidth="1"/>
    <col min="15881" max="16129" width="9.140625" style="56"/>
    <col min="16130" max="16130" width="7" style="56" customWidth="1"/>
    <col min="16131" max="16131" width="22" style="56" customWidth="1"/>
    <col min="16132" max="16132" width="17.5703125" style="56" customWidth="1"/>
    <col min="16133" max="16133" width="18.7109375" style="56" customWidth="1"/>
    <col min="16134" max="16134" width="19.42578125" style="56" customWidth="1"/>
    <col min="16135" max="16135" width="13.28515625" style="56" customWidth="1"/>
    <col min="16136" max="16136" width="21.42578125" style="56" customWidth="1"/>
    <col min="16137" max="16384" width="9.140625" style="56"/>
  </cols>
  <sheetData>
    <row r="1" spans="2:9" ht="7.5" customHeight="1" thickBot="1" x14ac:dyDescent="0.2"/>
    <row r="2" spans="2:9" ht="27" customHeight="1" thickBot="1" x14ac:dyDescent="0.2">
      <c r="B2" s="444" t="s">
        <v>674</v>
      </c>
      <c r="C2" s="445"/>
      <c r="D2" s="446" t="s">
        <v>675</v>
      </c>
      <c r="E2" s="446"/>
      <c r="F2" s="447"/>
    </row>
    <row r="3" spans="2:9" s="58" customFormat="1" ht="27" customHeight="1" x14ac:dyDescent="0.25">
      <c r="B3" s="448" t="s">
        <v>676</v>
      </c>
      <c r="C3" s="449"/>
      <c r="D3" s="57" t="s">
        <v>677</v>
      </c>
      <c r="E3" s="57" t="s">
        <v>678</v>
      </c>
      <c r="F3" s="57" t="s">
        <v>679</v>
      </c>
    </row>
    <row r="4" spans="2:9" ht="27" customHeight="1" x14ac:dyDescent="0.15">
      <c r="B4" s="59">
        <v>1</v>
      </c>
      <c r="C4" s="60" t="s">
        <v>680</v>
      </c>
      <c r="D4" s="61" t="s">
        <v>681</v>
      </c>
      <c r="E4" s="61" t="s">
        <v>682</v>
      </c>
      <c r="F4" s="61" t="s">
        <v>683</v>
      </c>
    </row>
    <row r="5" spans="2:9" ht="27" customHeight="1" x14ac:dyDescent="0.15">
      <c r="B5" s="59">
        <v>2</v>
      </c>
      <c r="C5" s="60" t="s">
        <v>684</v>
      </c>
      <c r="D5" s="61" t="s">
        <v>685</v>
      </c>
      <c r="E5" s="61" t="s">
        <v>686</v>
      </c>
      <c r="F5" s="61" t="s">
        <v>687</v>
      </c>
    </row>
    <row r="6" spans="2:9" ht="27" customHeight="1" x14ac:dyDescent="0.15">
      <c r="B6" s="59">
        <v>3</v>
      </c>
      <c r="C6" s="60" t="s">
        <v>688</v>
      </c>
      <c r="D6" s="61" t="s">
        <v>689</v>
      </c>
      <c r="E6" s="61" t="s">
        <v>624</v>
      </c>
      <c r="F6" s="61" t="s">
        <v>690</v>
      </c>
    </row>
    <row r="7" spans="2:9" ht="27" customHeight="1" x14ac:dyDescent="0.15">
      <c r="B7" s="59">
        <v>4</v>
      </c>
      <c r="C7" s="60" t="s">
        <v>691</v>
      </c>
      <c r="D7" s="61" t="s">
        <v>692</v>
      </c>
      <c r="E7" s="61" t="s">
        <v>693</v>
      </c>
      <c r="F7" s="61" t="s">
        <v>694</v>
      </c>
    </row>
    <row r="8" spans="2:9" ht="27" customHeight="1" x14ac:dyDescent="0.15">
      <c r="B8" s="59">
        <v>5</v>
      </c>
      <c r="C8" s="60" t="s">
        <v>695</v>
      </c>
      <c r="D8" s="61" t="s">
        <v>696</v>
      </c>
      <c r="E8" s="61" t="s">
        <v>697</v>
      </c>
      <c r="F8" s="61" t="s">
        <v>698</v>
      </c>
    </row>
    <row r="9" spans="2:9" ht="27" customHeight="1" x14ac:dyDescent="0.15">
      <c r="B9" s="59">
        <v>6</v>
      </c>
      <c r="C9" s="60" t="s">
        <v>699</v>
      </c>
      <c r="D9" s="61" t="s">
        <v>700</v>
      </c>
      <c r="E9" s="61" t="s">
        <v>701</v>
      </c>
      <c r="F9" s="61" t="s">
        <v>702</v>
      </c>
      <c r="H9" s="62"/>
      <c r="I9" s="62"/>
    </row>
    <row r="10" spans="2:9" ht="27" customHeight="1" x14ac:dyDescent="0.15">
      <c r="B10" s="59">
        <v>7</v>
      </c>
      <c r="C10" s="60" t="s">
        <v>703</v>
      </c>
      <c r="D10" s="61" t="s">
        <v>704</v>
      </c>
      <c r="E10" s="61" t="s">
        <v>705</v>
      </c>
      <c r="F10" s="61" t="s">
        <v>706</v>
      </c>
    </row>
    <row r="11" spans="2:9" ht="27" customHeight="1" x14ac:dyDescent="0.15">
      <c r="B11" s="59">
        <v>8</v>
      </c>
      <c r="C11" s="60" t="s">
        <v>707</v>
      </c>
      <c r="D11" s="61" t="s">
        <v>708</v>
      </c>
      <c r="E11" s="61" t="s">
        <v>709</v>
      </c>
      <c r="F11" s="61" t="s">
        <v>710</v>
      </c>
    </row>
    <row r="12" spans="2:9" s="63" customFormat="1" ht="27" customHeight="1" x14ac:dyDescent="0.25">
      <c r="B12" s="59">
        <v>9</v>
      </c>
      <c r="C12" s="60" t="s">
        <v>711</v>
      </c>
      <c r="D12" s="61" t="s">
        <v>712</v>
      </c>
      <c r="E12" s="61" t="s">
        <v>713</v>
      </c>
      <c r="F12" s="61" t="s">
        <v>714</v>
      </c>
    </row>
    <row r="13" spans="2:9" s="63" customFormat="1" ht="27" customHeight="1" x14ac:dyDescent="0.25">
      <c r="B13" s="59">
        <v>10</v>
      </c>
      <c r="C13" s="60" t="s">
        <v>715</v>
      </c>
      <c r="D13" s="61" t="s">
        <v>716</v>
      </c>
      <c r="E13" s="61" t="s">
        <v>717</v>
      </c>
      <c r="F13" s="61" t="s">
        <v>718</v>
      </c>
    </row>
    <row r="14" spans="2:9" s="63" customFormat="1" ht="27" customHeight="1" x14ac:dyDescent="0.25">
      <c r="B14" s="59">
        <v>11</v>
      </c>
      <c r="C14" s="60" t="s">
        <v>719</v>
      </c>
      <c r="D14" s="61" t="s">
        <v>720</v>
      </c>
      <c r="E14" s="61" t="s">
        <v>721</v>
      </c>
      <c r="F14" s="61" t="s">
        <v>722</v>
      </c>
    </row>
    <row r="15" spans="2:9" s="63" customFormat="1" ht="27" customHeight="1" x14ac:dyDescent="0.25">
      <c r="B15" s="59">
        <v>12</v>
      </c>
      <c r="C15" s="60" t="s">
        <v>723</v>
      </c>
      <c r="D15" s="61" t="s">
        <v>724</v>
      </c>
      <c r="E15" s="61" t="s">
        <v>725</v>
      </c>
      <c r="F15" s="61" t="s">
        <v>726</v>
      </c>
    </row>
    <row r="16" spans="2:9" s="63" customFormat="1" ht="27" customHeight="1" x14ac:dyDescent="0.25">
      <c r="B16" s="59">
        <v>13</v>
      </c>
      <c r="C16" s="60" t="s">
        <v>496</v>
      </c>
      <c r="D16" s="61" t="s">
        <v>727</v>
      </c>
      <c r="E16" s="61" t="s">
        <v>728</v>
      </c>
      <c r="F16" s="61" t="s">
        <v>729</v>
      </c>
    </row>
    <row r="17" spans="2:8" s="63" customFormat="1" ht="27" customHeight="1" x14ac:dyDescent="0.25">
      <c r="B17" s="59">
        <v>14</v>
      </c>
      <c r="C17" s="60" t="s">
        <v>730</v>
      </c>
      <c r="D17" s="61" t="s">
        <v>731</v>
      </c>
      <c r="E17" s="61" t="s">
        <v>732</v>
      </c>
      <c r="F17" s="61" t="s">
        <v>733</v>
      </c>
    </row>
    <row r="18" spans="2:8" s="63" customFormat="1" ht="27" customHeight="1" x14ac:dyDescent="0.25">
      <c r="B18" s="59">
        <v>15</v>
      </c>
      <c r="C18" s="60" t="s">
        <v>734</v>
      </c>
      <c r="D18" s="61" t="s">
        <v>731</v>
      </c>
      <c r="E18" s="61" t="s">
        <v>735</v>
      </c>
      <c r="F18" s="61" t="s">
        <v>736</v>
      </c>
    </row>
    <row r="19" spans="2:8" s="63" customFormat="1" ht="27" customHeight="1" x14ac:dyDescent="0.25">
      <c r="B19" s="59">
        <v>16</v>
      </c>
      <c r="C19" s="60" t="s">
        <v>737</v>
      </c>
      <c r="D19" s="61" t="s">
        <v>738</v>
      </c>
      <c r="E19" s="61" t="s">
        <v>739</v>
      </c>
      <c r="F19" s="61" t="s">
        <v>740</v>
      </c>
    </row>
    <row r="20" spans="2:8" s="63" customFormat="1" ht="27" customHeight="1" x14ac:dyDescent="0.25">
      <c r="B20" s="59">
        <v>17</v>
      </c>
      <c r="C20" s="60" t="s">
        <v>741</v>
      </c>
      <c r="D20" s="61" t="s">
        <v>742</v>
      </c>
      <c r="E20" s="61" t="s">
        <v>743</v>
      </c>
      <c r="F20" s="61" t="s">
        <v>744</v>
      </c>
    </row>
    <row r="21" spans="2:8" s="63" customFormat="1" ht="27" customHeight="1" x14ac:dyDescent="0.25">
      <c r="B21" s="59">
        <v>18</v>
      </c>
      <c r="C21" s="60" t="s">
        <v>745</v>
      </c>
      <c r="D21" s="61" t="s">
        <v>746</v>
      </c>
      <c r="E21" s="61" t="s">
        <v>747</v>
      </c>
      <c r="F21" s="61" t="s">
        <v>748</v>
      </c>
    </row>
    <row r="22" spans="2:8" s="63" customFormat="1" ht="27" customHeight="1" x14ac:dyDescent="0.25">
      <c r="B22" s="59">
        <v>19</v>
      </c>
      <c r="C22" s="60" t="s">
        <v>749</v>
      </c>
      <c r="D22" s="61" t="s">
        <v>750</v>
      </c>
      <c r="E22" s="61" t="s">
        <v>751</v>
      </c>
      <c r="F22" s="61" t="s">
        <v>752</v>
      </c>
    </row>
    <row r="23" spans="2:8" s="63" customFormat="1" ht="27" customHeight="1" x14ac:dyDescent="0.25">
      <c r="B23" s="59">
        <v>20</v>
      </c>
      <c r="C23" s="60" t="s">
        <v>753</v>
      </c>
      <c r="D23" s="61" t="s">
        <v>731</v>
      </c>
      <c r="E23" s="61" t="s">
        <v>754</v>
      </c>
      <c r="F23" s="61" t="s">
        <v>755</v>
      </c>
    </row>
    <row r="24" spans="2:8" s="63" customFormat="1" ht="27" customHeight="1" x14ac:dyDescent="0.25">
      <c r="B24" s="59">
        <v>21</v>
      </c>
      <c r="C24" s="60" t="s">
        <v>756</v>
      </c>
      <c r="D24" s="61" t="s">
        <v>700</v>
      </c>
      <c r="E24" s="61" t="s">
        <v>757</v>
      </c>
      <c r="F24" s="61" t="s">
        <v>758</v>
      </c>
    </row>
    <row r="25" spans="2:8" s="63" customFormat="1" ht="27" customHeight="1" x14ac:dyDescent="0.25">
      <c r="B25" s="59">
        <v>22</v>
      </c>
      <c r="C25" s="60" t="s">
        <v>759</v>
      </c>
      <c r="D25" s="61" t="s">
        <v>760</v>
      </c>
      <c r="E25" s="61" t="s">
        <v>761</v>
      </c>
      <c r="F25" s="61" t="s">
        <v>762</v>
      </c>
    </row>
    <row r="26" spans="2:8" s="63" customFormat="1" ht="27" customHeight="1" x14ac:dyDescent="0.25">
      <c r="B26" s="59">
        <v>23</v>
      </c>
      <c r="C26" s="60" t="s">
        <v>763</v>
      </c>
      <c r="D26" s="61" t="s">
        <v>764</v>
      </c>
      <c r="E26" s="61" t="s">
        <v>765</v>
      </c>
      <c r="F26" s="61" t="s">
        <v>766</v>
      </c>
    </row>
    <row r="27" spans="2:8" s="63" customFormat="1" ht="27" customHeight="1" x14ac:dyDescent="0.25">
      <c r="B27" s="59">
        <v>24</v>
      </c>
      <c r="C27" s="60" t="s">
        <v>767</v>
      </c>
      <c r="D27" s="61" t="s">
        <v>768</v>
      </c>
      <c r="E27" s="61" t="s">
        <v>769</v>
      </c>
      <c r="F27" s="61" t="s">
        <v>770</v>
      </c>
    </row>
    <row r="28" spans="2:8" s="63" customFormat="1" ht="27" customHeight="1" x14ac:dyDescent="0.25">
      <c r="B28" s="59">
        <v>25</v>
      </c>
      <c r="C28" s="60" t="s">
        <v>771</v>
      </c>
      <c r="D28" s="61" t="s">
        <v>731</v>
      </c>
      <c r="E28" s="61" t="s">
        <v>717</v>
      </c>
      <c r="F28" s="61" t="s">
        <v>772</v>
      </c>
      <c r="H28" s="64"/>
    </row>
    <row r="29" spans="2:8" s="63" customFormat="1" ht="27" customHeight="1" x14ac:dyDescent="0.25">
      <c r="B29" s="59">
        <v>26</v>
      </c>
      <c r="C29" s="60" t="s">
        <v>773</v>
      </c>
      <c r="D29" s="61" t="s">
        <v>774</v>
      </c>
      <c r="E29" s="61" t="s">
        <v>751</v>
      </c>
      <c r="F29" s="61" t="s">
        <v>775</v>
      </c>
    </row>
    <row r="30" spans="2:8" s="63" customFormat="1" ht="27" customHeight="1" x14ac:dyDescent="0.25">
      <c r="B30" s="59">
        <v>27</v>
      </c>
      <c r="C30" s="60" t="s">
        <v>776</v>
      </c>
      <c r="D30" s="61" t="s">
        <v>731</v>
      </c>
      <c r="E30" s="61" t="s">
        <v>717</v>
      </c>
      <c r="F30" s="61" t="s">
        <v>777</v>
      </c>
    </row>
    <row r="31" spans="2:8" s="63" customFormat="1" ht="27" customHeight="1" x14ac:dyDescent="0.25">
      <c r="B31" s="59">
        <v>28</v>
      </c>
      <c r="C31" s="60" t="s">
        <v>778</v>
      </c>
      <c r="D31" s="61" t="s">
        <v>731</v>
      </c>
      <c r="E31" s="61" t="s">
        <v>717</v>
      </c>
      <c r="F31" s="61" t="s">
        <v>779</v>
      </c>
    </row>
    <row r="32" spans="2:8" s="63" customFormat="1" ht="27" customHeight="1" x14ac:dyDescent="0.25">
      <c r="B32" s="59">
        <v>29</v>
      </c>
      <c r="C32" s="60" t="s">
        <v>780</v>
      </c>
      <c r="D32" s="61" t="s">
        <v>731</v>
      </c>
      <c r="E32" s="61" t="s">
        <v>781</v>
      </c>
      <c r="F32" s="61" t="s">
        <v>782</v>
      </c>
    </row>
    <row r="33" spans="2:6" s="63" customFormat="1" ht="27" customHeight="1" x14ac:dyDescent="0.25">
      <c r="B33" s="59">
        <v>30</v>
      </c>
      <c r="C33" s="60" t="s">
        <v>783</v>
      </c>
      <c r="D33" s="61" t="s">
        <v>784</v>
      </c>
      <c r="E33" s="61" t="s">
        <v>751</v>
      </c>
      <c r="F33" s="61" t="s">
        <v>785</v>
      </c>
    </row>
    <row r="34" spans="2:6" s="63" customFormat="1" ht="27" customHeight="1" x14ac:dyDescent="0.25">
      <c r="B34" s="59">
        <v>31</v>
      </c>
      <c r="C34" s="60" t="s">
        <v>786</v>
      </c>
      <c r="D34" s="61" t="s">
        <v>787</v>
      </c>
      <c r="E34" s="61" t="s">
        <v>788</v>
      </c>
      <c r="F34" s="61" t="s">
        <v>789</v>
      </c>
    </row>
    <row r="35" spans="2:6" s="63" customFormat="1" ht="27" customHeight="1" x14ac:dyDescent="0.25">
      <c r="B35" s="59">
        <v>32</v>
      </c>
      <c r="C35" s="60" t="s">
        <v>790</v>
      </c>
      <c r="D35" s="61" t="s">
        <v>716</v>
      </c>
      <c r="E35" s="61" t="s">
        <v>717</v>
      </c>
      <c r="F35" s="61" t="s">
        <v>791</v>
      </c>
    </row>
    <row r="36" spans="2:6" s="63" customFormat="1" ht="27" customHeight="1" x14ac:dyDescent="0.25">
      <c r="B36" s="59">
        <v>33</v>
      </c>
      <c r="C36" s="60" t="s">
        <v>792</v>
      </c>
      <c r="D36" s="61" t="s">
        <v>716</v>
      </c>
      <c r="E36" s="61" t="s">
        <v>717</v>
      </c>
      <c r="F36" s="61" t="s">
        <v>779</v>
      </c>
    </row>
    <row r="37" spans="2:6" s="63" customFormat="1" ht="27" customHeight="1" x14ac:dyDescent="0.25">
      <c r="B37" s="59">
        <v>34</v>
      </c>
      <c r="C37" s="60" t="s">
        <v>793</v>
      </c>
      <c r="D37" s="61" t="s">
        <v>794</v>
      </c>
      <c r="E37" s="61" t="s">
        <v>795</v>
      </c>
      <c r="F37" s="61" t="s">
        <v>796</v>
      </c>
    </row>
    <row r="38" spans="2:6" s="63" customFormat="1" ht="27" customHeight="1" x14ac:dyDescent="0.25">
      <c r="B38" s="59">
        <v>35</v>
      </c>
      <c r="C38" s="60" t="s">
        <v>797</v>
      </c>
      <c r="D38" s="61" t="s">
        <v>798</v>
      </c>
      <c r="E38" s="61" t="s">
        <v>799</v>
      </c>
      <c r="F38" s="61" t="s">
        <v>800</v>
      </c>
    </row>
    <row r="39" spans="2:6" s="63" customFormat="1" ht="27" customHeight="1" x14ac:dyDescent="0.25">
      <c r="B39" s="65"/>
      <c r="C39" s="54"/>
      <c r="D39" s="66"/>
      <c r="E39" s="66"/>
      <c r="F39" s="66"/>
    </row>
    <row r="40" spans="2:6" s="63" customFormat="1" ht="27" customHeight="1" x14ac:dyDescent="0.25">
      <c r="B40" s="65"/>
      <c r="C40" s="54"/>
      <c r="D40" s="66"/>
      <c r="E40" s="66"/>
      <c r="F40" s="66"/>
    </row>
    <row r="41" spans="2:6" s="63" customFormat="1" ht="27" customHeight="1" x14ac:dyDescent="0.25">
      <c r="B41" s="65"/>
      <c r="C41" s="54"/>
      <c r="D41" s="66"/>
      <c r="E41" s="66"/>
      <c r="F41" s="66"/>
    </row>
    <row r="42" spans="2:6" s="63" customFormat="1" ht="27" customHeight="1" x14ac:dyDescent="0.25">
      <c r="B42" s="65"/>
      <c r="C42" s="54"/>
      <c r="D42" s="66"/>
      <c r="E42" s="66"/>
      <c r="F42" s="66"/>
    </row>
    <row r="43" spans="2:6" s="63" customFormat="1" ht="27" customHeight="1" x14ac:dyDescent="0.25">
      <c r="B43" s="65"/>
      <c r="C43" s="54"/>
      <c r="D43" s="66"/>
      <c r="E43" s="66"/>
      <c r="F43" s="66"/>
    </row>
    <row r="44" spans="2:6" s="63" customFormat="1" ht="27" customHeight="1" x14ac:dyDescent="0.25">
      <c r="B44" s="65"/>
      <c r="C44" s="54"/>
      <c r="D44" s="66"/>
      <c r="E44" s="66"/>
      <c r="F44" s="66"/>
    </row>
    <row r="45" spans="2:6" s="63" customFormat="1" ht="27" customHeight="1" x14ac:dyDescent="0.25">
      <c r="B45" s="65"/>
      <c r="C45" s="54"/>
      <c r="D45" s="66"/>
      <c r="E45" s="66"/>
      <c r="F45" s="66"/>
    </row>
    <row r="46" spans="2:6" s="63" customFormat="1" ht="27" customHeight="1" x14ac:dyDescent="0.25">
      <c r="B46" s="65"/>
      <c r="C46" s="54"/>
      <c r="D46" s="66"/>
      <c r="E46" s="66"/>
      <c r="F46" s="66"/>
    </row>
    <row r="47" spans="2:6" s="63" customFormat="1" ht="27" customHeight="1" x14ac:dyDescent="0.25">
      <c r="B47" s="65"/>
      <c r="C47" s="54"/>
      <c r="D47" s="66"/>
      <c r="E47" s="66"/>
      <c r="F47" s="66"/>
    </row>
    <row r="48" spans="2:6" s="63" customFormat="1" ht="27" customHeight="1" x14ac:dyDescent="0.25">
      <c r="B48" s="65"/>
      <c r="C48" s="54"/>
      <c r="D48" s="66"/>
      <c r="E48" s="66"/>
      <c r="F48" s="66"/>
    </row>
    <row r="49" spans="2:6" ht="27" customHeight="1" x14ac:dyDescent="0.15">
      <c r="B49" s="65"/>
      <c r="D49" s="66"/>
      <c r="E49" s="66"/>
      <c r="F49" s="66"/>
    </row>
  </sheetData>
  <mergeCells count="3">
    <mergeCell ref="B2:C2"/>
    <mergeCell ref="D2:F2"/>
    <mergeCell ref="B3:C3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B5E5-C2B1-4842-AAEA-5D07F469AAA0}">
  <sheetPr codeName="Planilha8"/>
  <dimension ref="B2:AF28"/>
  <sheetViews>
    <sheetView showGridLines="0" topLeftCell="A4" zoomScaleNormal="100" workbookViewId="0">
      <selection activeCell="N9" sqref="N9"/>
    </sheetView>
  </sheetViews>
  <sheetFormatPr defaultColWidth="16.42578125" defaultRowHeight="15" x14ac:dyDescent="0.25"/>
  <cols>
    <col min="1" max="1" width="1.42578125" customWidth="1"/>
    <col min="2" max="2" width="3.85546875" customWidth="1"/>
    <col min="3" max="3" width="22.42578125" customWidth="1"/>
    <col min="4" max="4" width="11.7109375" customWidth="1"/>
    <col min="5" max="8" width="14.85546875" customWidth="1"/>
    <col min="9" max="9" width="14.85546875" style="27" customWidth="1"/>
    <col min="10" max="10" width="10.28515625" style="27" customWidth="1"/>
    <col min="11" max="11" width="0.5703125" style="27" customWidth="1"/>
    <col min="12" max="12" width="5" style="27" customWidth="1"/>
    <col min="13" max="13" width="4.140625" style="27" customWidth="1"/>
    <col min="14" max="14" width="16.140625" style="28" customWidth="1"/>
    <col min="15" max="15" width="2.28515625" customWidth="1"/>
    <col min="16" max="16" width="5" style="27" customWidth="1"/>
    <col min="17" max="17" width="4.140625" style="27" customWidth="1"/>
    <col min="18" max="18" width="16.140625" style="28" customWidth="1"/>
    <col min="19" max="19" width="0.7109375" style="27" customWidth="1"/>
    <col min="20" max="20" width="15.28515625" style="27" customWidth="1"/>
    <col min="21" max="22" width="15.28515625" customWidth="1"/>
    <col min="23" max="23" width="10.28515625" customWidth="1"/>
    <col min="24" max="24" width="0.5703125" customWidth="1"/>
    <col min="25" max="25" width="5" customWidth="1"/>
    <col min="26" max="26" width="4.140625" customWidth="1"/>
    <col min="27" max="27" width="63.42578125" bestFit="1" customWidth="1"/>
    <col min="28" max="28" width="2.28515625" customWidth="1"/>
    <col min="29" max="29" width="5" customWidth="1"/>
    <col min="30" max="30" width="4.140625" customWidth="1"/>
    <col min="31" max="31" width="51.28515625" customWidth="1"/>
    <col min="32" max="32" width="0.7109375" customWidth="1"/>
  </cols>
  <sheetData>
    <row r="2" spans="2:21" ht="22.5" customHeight="1" x14ac:dyDescent="0.25">
      <c r="B2" s="26"/>
      <c r="C2" s="26"/>
      <c r="D2" s="26"/>
      <c r="E2" s="451" t="s">
        <v>801</v>
      </c>
      <c r="F2" s="451"/>
      <c r="G2" s="451"/>
      <c r="H2" s="451"/>
      <c r="I2" s="451"/>
      <c r="U2" s="27"/>
    </row>
    <row r="3" spans="2:21" ht="36" x14ac:dyDescent="0.25">
      <c r="B3" s="29"/>
      <c r="C3" s="452" t="s">
        <v>802</v>
      </c>
      <c r="D3" s="453"/>
      <c r="E3" s="30" t="s">
        <v>803</v>
      </c>
      <c r="F3" s="30" t="s">
        <v>804</v>
      </c>
      <c r="G3" s="30" t="s">
        <v>805</v>
      </c>
      <c r="H3" s="30" t="s">
        <v>806</v>
      </c>
      <c r="I3" s="30" t="s">
        <v>807</v>
      </c>
      <c r="U3" s="27"/>
    </row>
    <row r="4" spans="2:21" ht="18" x14ac:dyDescent="0.25">
      <c r="B4" s="29"/>
      <c r="C4" s="454"/>
      <c r="D4" s="455"/>
      <c r="E4" s="30">
        <v>1</v>
      </c>
      <c r="F4" s="30">
        <v>2</v>
      </c>
      <c r="G4" s="30">
        <v>3</v>
      </c>
      <c r="H4" s="30">
        <v>4</v>
      </c>
      <c r="I4" s="30">
        <v>5</v>
      </c>
      <c r="U4" s="27"/>
    </row>
    <row r="5" spans="2:21" ht="37.5" x14ac:dyDescent="0.25">
      <c r="B5" s="456" t="s">
        <v>808</v>
      </c>
      <c r="C5" s="31" t="s">
        <v>809</v>
      </c>
      <c r="D5" s="31">
        <v>5</v>
      </c>
      <c r="E5" s="32" t="s">
        <v>810</v>
      </c>
      <c r="F5" s="35" t="s">
        <v>811</v>
      </c>
      <c r="G5" s="35" t="s">
        <v>812</v>
      </c>
      <c r="H5" s="33" t="s">
        <v>813</v>
      </c>
      <c r="I5" s="33" t="s">
        <v>814</v>
      </c>
      <c r="N5"/>
      <c r="P5"/>
      <c r="Q5"/>
      <c r="R5"/>
      <c r="S5"/>
      <c r="T5"/>
    </row>
    <row r="6" spans="2:21" ht="37.5" x14ac:dyDescent="0.25">
      <c r="B6" s="456"/>
      <c r="C6" s="31" t="s">
        <v>815</v>
      </c>
      <c r="D6" s="31">
        <v>4</v>
      </c>
      <c r="E6" s="32" t="s">
        <v>816</v>
      </c>
      <c r="F6" s="32" t="s">
        <v>817</v>
      </c>
      <c r="G6" s="35" t="s">
        <v>818</v>
      </c>
      <c r="H6" s="33" t="s">
        <v>819</v>
      </c>
      <c r="I6" s="33" t="s">
        <v>820</v>
      </c>
      <c r="N6"/>
      <c r="P6"/>
      <c r="Q6"/>
      <c r="R6"/>
      <c r="S6"/>
      <c r="T6"/>
    </row>
    <row r="7" spans="2:21" ht="37.5" x14ac:dyDescent="0.25">
      <c r="B7" s="456"/>
      <c r="C7" s="31" t="s">
        <v>821</v>
      </c>
      <c r="D7" s="31">
        <v>3</v>
      </c>
      <c r="E7" s="34" t="s">
        <v>822</v>
      </c>
      <c r="F7" s="32" t="s">
        <v>823</v>
      </c>
      <c r="G7" s="35" t="s">
        <v>824</v>
      </c>
      <c r="H7" s="35" t="s">
        <v>825</v>
      </c>
      <c r="I7" s="33" t="s">
        <v>826</v>
      </c>
      <c r="N7"/>
      <c r="P7"/>
      <c r="Q7"/>
      <c r="R7"/>
      <c r="S7"/>
      <c r="T7"/>
    </row>
    <row r="8" spans="2:21" ht="37.5" x14ac:dyDescent="0.25">
      <c r="B8" s="456"/>
      <c r="C8" s="31" t="s">
        <v>827</v>
      </c>
      <c r="D8" s="31">
        <v>2</v>
      </c>
      <c r="E8" s="34" t="s">
        <v>828</v>
      </c>
      <c r="F8" s="34" t="s">
        <v>829</v>
      </c>
      <c r="G8" s="32" t="s">
        <v>830</v>
      </c>
      <c r="H8" s="35" t="s">
        <v>831</v>
      </c>
      <c r="I8" s="35" t="s">
        <v>832</v>
      </c>
      <c r="L8"/>
      <c r="N8"/>
      <c r="P8"/>
      <c r="Q8"/>
      <c r="R8"/>
      <c r="S8"/>
      <c r="T8"/>
    </row>
    <row r="9" spans="2:21" ht="37.5" x14ac:dyDescent="0.25">
      <c r="B9" s="456"/>
      <c r="C9" s="31" t="s">
        <v>833</v>
      </c>
      <c r="D9" s="31">
        <v>1</v>
      </c>
      <c r="E9" s="186" t="s">
        <v>834</v>
      </c>
      <c r="F9" s="34" t="s">
        <v>835</v>
      </c>
      <c r="G9" s="32" t="s">
        <v>836</v>
      </c>
      <c r="H9" s="32" t="s">
        <v>837</v>
      </c>
      <c r="I9" s="35" t="s">
        <v>838</v>
      </c>
      <c r="L9"/>
      <c r="N9"/>
      <c r="P9"/>
      <c r="Q9"/>
      <c r="R9"/>
      <c r="S9"/>
      <c r="T9"/>
    </row>
    <row r="10" spans="2:21" x14ac:dyDescent="0.25">
      <c r="N10"/>
      <c r="P10"/>
      <c r="Q10"/>
      <c r="R10"/>
      <c r="S10"/>
      <c r="T10"/>
    </row>
    <row r="11" spans="2:21" x14ac:dyDescent="0.25">
      <c r="C11" s="37" t="s">
        <v>839</v>
      </c>
      <c r="D11" s="38">
        <v>3</v>
      </c>
      <c r="E11" s="27"/>
      <c r="R11"/>
      <c r="S11"/>
      <c r="T11"/>
    </row>
    <row r="12" spans="2:21" x14ac:dyDescent="0.25">
      <c r="C12" s="37" t="s">
        <v>676</v>
      </c>
      <c r="D12" s="38">
        <v>3</v>
      </c>
      <c r="F12" s="39" t="s">
        <v>840</v>
      </c>
      <c r="G12" s="40" t="s">
        <v>841</v>
      </c>
      <c r="H12" s="41" t="s">
        <v>842</v>
      </c>
      <c r="I12" s="42" t="s">
        <v>843</v>
      </c>
    </row>
    <row r="13" spans="2:21" ht="15" customHeight="1" x14ac:dyDescent="0.25">
      <c r="C13" s="457" t="s">
        <v>844</v>
      </c>
      <c r="D13" s="460" t="str">
        <f>INDEX(Tabelas!$E$5:$I$9, MATCH(D11, Tabelas!$D$5:$D$9, 0), MATCH(D12, Tabelas!$E$4:$I$4, 0))</f>
        <v>³Alto 
(13)</v>
      </c>
      <c r="I13"/>
      <c r="J13"/>
      <c r="K13"/>
      <c r="L13"/>
      <c r="M13"/>
      <c r="N13"/>
    </row>
    <row r="14" spans="2:21" x14ac:dyDescent="0.25">
      <c r="C14" s="458"/>
      <c r="D14" s="461"/>
      <c r="I14"/>
      <c r="J14"/>
      <c r="K14"/>
      <c r="L14"/>
      <c r="M14"/>
      <c r="N14"/>
    </row>
    <row r="15" spans="2:21" ht="15" customHeight="1" x14ac:dyDescent="0.25">
      <c r="C15" s="459"/>
      <c r="D15" s="462"/>
      <c r="I15"/>
      <c r="J15"/>
      <c r="K15"/>
      <c r="L15"/>
      <c r="M15"/>
      <c r="N15"/>
    </row>
    <row r="16" spans="2:21" ht="3.75" customHeight="1" thickBot="1" x14ac:dyDescent="0.3">
      <c r="I16"/>
      <c r="J16"/>
      <c r="K16"/>
      <c r="L16"/>
      <c r="M16"/>
      <c r="N16"/>
      <c r="P16"/>
      <c r="Q16"/>
      <c r="R16"/>
      <c r="S16"/>
      <c r="T16"/>
    </row>
    <row r="17" spans="9:32" ht="16.5" thickTop="1" thickBot="1" x14ac:dyDescent="0.3">
      <c r="J17" s="450" t="s">
        <v>283</v>
      </c>
      <c r="K17" s="43"/>
      <c r="L17" s="463" t="s">
        <v>801</v>
      </c>
      <c r="M17" s="44">
        <v>1</v>
      </c>
      <c r="N17" s="45" t="s">
        <v>845</v>
      </c>
      <c r="P17" s="463" t="s">
        <v>808</v>
      </c>
      <c r="Q17" s="44">
        <v>1</v>
      </c>
      <c r="R17" s="45" t="s">
        <v>846</v>
      </c>
      <c r="S17"/>
      <c r="W17" s="450" t="s">
        <v>283</v>
      </c>
      <c r="X17" s="43"/>
      <c r="Y17" s="463" t="s">
        <v>801</v>
      </c>
      <c r="Z17" s="44">
        <v>1</v>
      </c>
      <c r="AA17" s="45" t="s">
        <v>847</v>
      </c>
      <c r="AC17" s="463" t="s">
        <v>808</v>
      </c>
      <c r="AD17" s="44">
        <v>1</v>
      </c>
      <c r="AE17" s="45" t="s">
        <v>848</v>
      </c>
    </row>
    <row r="18" spans="9:32" ht="16.5" thickTop="1" thickBot="1" x14ac:dyDescent="0.3">
      <c r="J18" s="450"/>
      <c r="K18" s="43"/>
      <c r="L18" s="464"/>
      <c r="M18" s="46">
        <v>2</v>
      </c>
      <c r="N18" s="47" t="s">
        <v>849</v>
      </c>
      <c r="P18" s="464"/>
      <c r="Q18" s="46">
        <v>2</v>
      </c>
      <c r="R18" s="47" t="s">
        <v>850</v>
      </c>
      <c r="S18"/>
      <c r="W18" s="450"/>
      <c r="X18" s="43"/>
      <c r="Y18" s="464"/>
      <c r="Z18" s="46">
        <v>2</v>
      </c>
      <c r="AA18" s="47" t="s">
        <v>851</v>
      </c>
      <c r="AC18" s="464"/>
      <c r="AD18" s="46">
        <v>2</v>
      </c>
      <c r="AE18" s="47" t="s">
        <v>852</v>
      </c>
    </row>
    <row r="19" spans="9:32" ht="16.5" thickTop="1" thickBot="1" x14ac:dyDescent="0.3">
      <c r="J19" s="450"/>
      <c r="K19" s="43"/>
      <c r="L19" s="464"/>
      <c r="M19" s="46">
        <v>3</v>
      </c>
      <c r="N19" s="47" t="s">
        <v>853</v>
      </c>
      <c r="P19" s="464"/>
      <c r="Q19" s="46">
        <v>3</v>
      </c>
      <c r="R19" s="47" t="s">
        <v>854</v>
      </c>
      <c r="S19"/>
      <c r="W19" s="450"/>
      <c r="X19" s="43"/>
      <c r="Y19" s="464"/>
      <c r="Z19" s="46">
        <v>3</v>
      </c>
      <c r="AA19" s="47" t="s">
        <v>855</v>
      </c>
      <c r="AC19" s="464"/>
      <c r="AD19" s="46">
        <v>3</v>
      </c>
      <c r="AE19" s="47" t="s">
        <v>856</v>
      </c>
    </row>
    <row r="20" spans="9:32" ht="16.5" thickTop="1" thickBot="1" x14ac:dyDescent="0.3">
      <c r="J20" s="450"/>
      <c r="K20" s="43"/>
      <c r="L20" s="464"/>
      <c r="M20" s="46">
        <v>4</v>
      </c>
      <c r="N20" s="47" t="s">
        <v>857</v>
      </c>
      <c r="P20" s="464"/>
      <c r="Q20" s="46">
        <v>4</v>
      </c>
      <c r="R20" s="47" t="s">
        <v>858</v>
      </c>
      <c r="S20"/>
      <c r="W20" s="450"/>
      <c r="X20" s="43"/>
      <c r="Y20" s="464"/>
      <c r="Z20" s="46">
        <v>4</v>
      </c>
      <c r="AA20" s="47" t="s">
        <v>859</v>
      </c>
      <c r="AC20" s="464"/>
      <c r="AD20" s="46">
        <v>4</v>
      </c>
      <c r="AE20" s="47" t="s">
        <v>860</v>
      </c>
    </row>
    <row r="21" spans="9:32" ht="16.5" thickTop="1" thickBot="1" x14ac:dyDescent="0.3">
      <c r="J21" s="450"/>
      <c r="K21" s="43"/>
      <c r="L21" s="465"/>
      <c r="M21" s="48">
        <v>5</v>
      </c>
      <c r="N21" s="49" t="s">
        <v>861</v>
      </c>
      <c r="P21" s="465"/>
      <c r="Q21" s="48">
        <v>5</v>
      </c>
      <c r="R21" s="49" t="s">
        <v>862</v>
      </c>
      <c r="S21"/>
      <c r="W21" s="450"/>
      <c r="X21" s="43"/>
      <c r="Y21" s="465"/>
      <c r="Z21" s="48">
        <v>5</v>
      </c>
      <c r="AA21" s="49" t="s">
        <v>863</v>
      </c>
      <c r="AC21" s="465"/>
      <c r="AD21" s="48">
        <v>5</v>
      </c>
      <c r="AE21" s="49" t="s">
        <v>864</v>
      </c>
    </row>
    <row r="22" spans="9:32" ht="3.75" customHeight="1" thickTop="1" x14ac:dyDescent="0.25">
      <c r="W22" s="27"/>
      <c r="X22" s="27"/>
      <c r="Y22" s="27"/>
      <c r="Z22" s="27"/>
      <c r="AA22" s="28"/>
      <c r="AC22" s="27"/>
      <c r="AD22" s="27"/>
      <c r="AE22" s="28"/>
      <c r="AF22" s="27"/>
    </row>
    <row r="27" spans="9:32" s="51" customFormat="1" x14ac:dyDescent="0.25">
      <c r="I27" s="50"/>
      <c r="J27" s="50"/>
      <c r="K27" s="50"/>
      <c r="N27" s="52"/>
      <c r="O27"/>
      <c r="R27" s="52"/>
    </row>
    <row r="28" spans="9:32" x14ac:dyDescent="0.25">
      <c r="L28"/>
      <c r="M28"/>
      <c r="N28" s="36"/>
      <c r="P28"/>
      <c r="Q28"/>
      <c r="R28" s="36"/>
      <c r="S28"/>
    </row>
  </sheetData>
  <sheetProtection sheet="1" objects="1" scenarios="1"/>
  <mergeCells count="11">
    <mergeCell ref="W17:W21"/>
    <mergeCell ref="Y17:Y21"/>
    <mergeCell ref="AC17:AC21"/>
    <mergeCell ref="L17:L21"/>
    <mergeCell ref="P17:P21"/>
    <mergeCell ref="J17:J21"/>
    <mergeCell ref="E2:I2"/>
    <mergeCell ref="C3:D4"/>
    <mergeCell ref="B5:B9"/>
    <mergeCell ref="C13:C15"/>
    <mergeCell ref="D13:D15"/>
  </mergeCells>
  <pageMargins left="0.51181102362204722" right="0.51181102362204722" top="0.78740157480314965" bottom="0.78740157480314965" header="0.31496062992125984" footer="0.31496062992125984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7259-0826-4437-86FA-3671AB560287}">
  <sheetPr codeName="Planilha5"/>
  <dimension ref="B1:H25"/>
  <sheetViews>
    <sheetView topLeftCell="A8" zoomScale="55" zoomScaleNormal="55" workbookViewId="0">
      <selection activeCell="B8" sqref="B8:C23"/>
    </sheetView>
  </sheetViews>
  <sheetFormatPr defaultColWidth="88.85546875" defaultRowHeight="22.5" x14ac:dyDescent="0.35"/>
  <cols>
    <col min="1" max="1" width="0.42578125" style="122" customWidth="1"/>
    <col min="2" max="2" width="24.5703125" style="122" customWidth="1"/>
    <col min="3" max="8" width="62.42578125" style="122" customWidth="1"/>
    <col min="9" max="9" width="0.5703125" style="122" customWidth="1"/>
    <col min="10" max="16384" width="88.85546875" style="122"/>
  </cols>
  <sheetData>
    <row r="1" spans="2:8" ht="2.25" customHeight="1" x14ac:dyDescent="0.35"/>
    <row r="2" spans="2:8" ht="26.25" customHeight="1" x14ac:dyDescent="0.35">
      <c r="B2" s="471" t="s">
        <v>865</v>
      </c>
      <c r="C2" s="472"/>
      <c r="D2" s="473" t="s">
        <v>866</v>
      </c>
      <c r="E2" s="474"/>
      <c r="F2" s="474"/>
      <c r="G2" s="474"/>
      <c r="H2" s="475"/>
    </row>
    <row r="3" spans="2:8" ht="26.25" customHeight="1" x14ac:dyDescent="0.35">
      <c r="B3" s="471"/>
      <c r="C3" s="472"/>
      <c r="D3" s="476" t="s">
        <v>867</v>
      </c>
      <c r="E3" s="477"/>
      <c r="F3" s="477"/>
      <c r="G3" s="477"/>
      <c r="H3" s="478"/>
    </row>
    <row r="4" spans="2:8" ht="72" customHeight="1" x14ac:dyDescent="0.35">
      <c r="B4" s="479" t="s">
        <v>868</v>
      </c>
      <c r="C4" s="479"/>
      <c r="D4" s="142" t="s">
        <v>803</v>
      </c>
      <c r="E4" s="142" t="s">
        <v>804</v>
      </c>
      <c r="F4" s="142" t="s">
        <v>869</v>
      </c>
      <c r="G4" s="142" t="s">
        <v>806</v>
      </c>
      <c r="H4" s="142" t="s">
        <v>807</v>
      </c>
    </row>
    <row r="5" spans="2:8" ht="28.5" customHeight="1" x14ac:dyDescent="0.35">
      <c r="B5" s="480" t="s">
        <v>870</v>
      </c>
      <c r="C5" s="481"/>
      <c r="D5" s="482" t="s">
        <v>871</v>
      </c>
      <c r="E5" s="483" t="s">
        <v>872</v>
      </c>
      <c r="F5" s="483" t="s">
        <v>873</v>
      </c>
      <c r="G5" s="483" t="s">
        <v>874</v>
      </c>
      <c r="H5" s="483" t="s">
        <v>875</v>
      </c>
    </row>
    <row r="6" spans="2:8" ht="29.25" customHeight="1" x14ac:dyDescent="0.35">
      <c r="B6" s="467" t="s">
        <v>876</v>
      </c>
      <c r="C6" s="468"/>
      <c r="D6" s="482"/>
      <c r="E6" s="483"/>
      <c r="F6" s="483"/>
      <c r="G6" s="483"/>
      <c r="H6" s="483"/>
    </row>
    <row r="7" spans="2:8" ht="162" customHeight="1" x14ac:dyDescent="0.35">
      <c r="B7" s="469" t="s">
        <v>877</v>
      </c>
      <c r="C7" s="469"/>
      <c r="D7" s="124" t="s">
        <v>878</v>
      </c>
      <c r="E7" s="123" t="s">
        <v>879</v>
      </c>
      <c r="F7" s="123" t="s">
        <v>880</v>
      </c>
      <c r="G7" s="123" t="s">
        <v>881</v>
      </c>
      <c r="H7" s="123" t="s">
        <v>882</v>
      </c>
    </row>
    <row r="8" spans="2:8" ht="149.25" customHeight="1" x14ac:dyDescent="0.35">
      <c r="B8" s="125" t="s">
        <v>808</v>
      </c>
      <c r="C8" s="126" t="s">
        <v>883</v>
      </c>
      <c r="D8" s="470" t="s">
        <v>884</v>
      </c>
      <c r="E8" s="470"/>
      <c r="F8" s="470"/>
      <c r="G8" s="470"/>
      <c r="H8" s="470"/>
    </row>
    <row r="9" spans="2:8" ht="34.5" customHeight="1" x14ac:dyDescent="0.35">
      <c r="B9" s="125">
        <v>5</v>
      </c>
      <c r="C9" s="466" t="s">
        <v>885</v>
      </c>
      <c r="D9" s="127"/>
      <c r="E9" s="128"/>
      <c r="F9" s="128"/>
      <c r="G9" s="129"/>
      <c r="H9" s="129"/>
    </row>
    <row r="10" spans="2:8" ht="34.5" customHeight="1" x14ac:dyDescent="0.35">
      <c r="B10" s="130" t="s">
        <v>886</v>
      </c>
      <c r="C10" s="466"/>
      <c r="D10" s="131" t="s">
        <v>887</v>
      </c>
      <c r="E10" s="132" t="s">
        <v>888</v>
      </c>
      <c r="F10" s="132" t="s">
        <v>889</v>
      </c>
      <c r="G10" s="133" t="s">
        <v>890</v>
      </c>
      <c r="H10" s="133" t="s">
        <v>891</v>
      </c>
    </row>
    <row r="11" spans="2:8" ht="34.5" customHeight="1" x14ac:dyDescent="0.35">
      <c r="B11" s="134"/>
      <c r="C11" s="466"/>
      <c r="D11" s="135" t="s">
        <v>892</v>
      </c>
      <c r="E11" s="136" t="s">
        <v>893</v>
      </c>
      <c r="F11" s="136" t="s">
        <v>894</v>
      </c>
      <c r="G11" s="137" t="s">
        <v>895</v>
      </c>
      <c r="H11" s="137" t="s">
        <v>896</v>
      </c>
    </row>
    <row r="12" spans="2:8" ht="34.5" customHeight="1" x14ac:dyDescent="0.35">
      <c r="B12" s="125">
        <v>4</v>
      </c>
      <c r="C12" s="466" t="s">
        <v>897</v>
      </c>
      <c r="D12" s="127"/>
      <c r="E12" s="127"/>
      <c r="F12" s="128"/>
      <c r="G12" s="129"/>
      <c r="H12" s="129"/>
    </row>
    <row r="13" spans="2:8" ht="34.5" customHeight="1" x14ac:dyDescent="0.35">
      <c r="B13" s="130" t="s">
        <v>898</v>
      </c>
      <c r="C13" s="466"/>
      <c r="D13" s="131" t="s">
        <v>899</v>
      </c>
      <c r="E13" s="131" t="s">
        <v>900</v>
      </c>
      <c r="F13" s="132" t="s">
        <v>901</v>
      </c>
      <c r="G13" s="133" t="s">
        <v>902</v>
      </c>
      <c r="H13" s="133" t="s">
        <v>903</v>
      </c>
    </row>
    <row r="14" spans="2:8" ht="34.5" customHeight="1" x14ac:dyDescent="0.35">
      <c r="B14" s="134"/>
      <c r="C14" s="466"/>
      <c r="D14" s="135" t="s">
        <v>904</v>
      </c>
      <c r="E14" s="135" t="s">
        <v>905</v>
      </c>
      <c r="F14" s="136" t="s">
        <v>906</v>
      </c>
      <c r="G14" s="137" t="s">
        <v>907</v>
      </c>
      <c r="H14" s="137" t="s">
        <v>908</v>
      </c>
    </row>
    <row r="15" spans="2:8" ht="34.5" customHeight="1" x14ac:dyDescent="0.35">
      <c r="B15" s="125">
        <v>3</v>
      </c>
      <c r="C15" s="466" t="s">
        <v>909</v>
      </c>
      <c r="D15" s="138"/>
      <c r="E15" s="127"/>
      <c r="F15" s="128"/>
      <c r="G15" s="128"/>
      <c r="H15" s="129"/>
    </row>
    <row r="16" spans="2:8" ht="34.5" customHeight="1" x14ac:dyDescent="0.35">
      <c r="B16" s="130" t="s">
        <v>910</v>
      </c>
      <c r="C16" s="466"/>
      <c r="D16" s="139" t="s">
        <v>911</v>
      </c>
      <c r="E16" s="131" t="s">
        <v>912</v>
      </c>
      <c r="F16" s="132" t="s">
        <v>913</v>
      </c>
      <c r="G16" s="132" t="s">
        <v>914</v>
      </c>
      <c r="H16" s="133" t="s">
        <v>915</v>
      </c>
    </row>
    <row r="17" spans="2:8" ht="34.5" customHeight="1" x14ac:dyDescent="0.35">
      <c r="B17" s="134"/>
      <c r="C17" s="466"/>
      <c r="D17" s="140" t="s">
        <v>916</v>
      </c>
      <c r="E17" s="135" t="s">
        <v>917</v>
      </c>
      <c r="F17" s="136" t="s">
        <v>918</v>
      </c>
      <c r="G17" s="136" t="s">
        <v>919</v>
      </c>
      <c r="H17" s="137" t="s">
        <v>920</v>
      </c>
    </row>
    <row r="18" spans="2:8" ht="34.5" customHeight="1" x14ac:dyDescent="0.35">
      <c r="B18" s="125">
        <v>2</v>
      </c>
      <c r="C18" s="466" t="s">
        <v>921</v>
      </c>
      <c r="D18" s="138"/>
      <c r="E18" s="138"/>
      <c r="F18" s="127"/>
      <c r="G18" s="128"/>
      <c r="H18" s="128"/>
    </row>
    <row r="19" spans="2:8" ht="34.5" customHeight="1" x14ac:dyDescent="0.35">
      <c r="B19" s="130" t="s">
        <v>922</v>
      </c>
      <c r="C19" s="466"/>
      <c r="D19" s="139" t="s">
        <v>923</v>
      </c>
      <c r="E19" s="139" t="s">
        <v>924</v>
      </c>
      <c r="F19" s="131" t="s">
        <v>925</v>
      </c>
      <c r="G19" s="132" t="s">
        <v>926</v>
      </c>
      <c r="H19" s="132" t="s">
        <v>927</v>
      </c>
    </row>
    <row r="20" spans="2:8" ht="34.5" customHeight="1" x14ac:dyDescent="0.35">
      <c r="B20" s="134"/>
      <c r="C20" s="466"/>
      <c r="D20" s="140" t="s">
        <v>928</v>
      </c>
      <c r="E20" s="140" t="s">
        <v>929</v>
      </c>
      <c r="F20" s="135" t="s">
        <v>930</v>
      </c>
      <c r="G20" s="136" t="s">
        <v>931</v>
      </c>
      <c r="H20" s="136" t="s">
        <v>932</v>
      </c>
    </row>
    <row r="21" spans="2:8" ht="34.5" customHeight="1" x14ac:dyDescent="0.35">
      <c r="B21" s="125">
        <v>1</v>
      </c>
      <c r="C21" s="466" t="s">
        <v>933</v>
      </c>
      <c r="D21" s="138"/>
      <c r="E21" s="138"/>
      <c r="F21" s="127"/>
      <c r="G21" s="127"/>
      <c r="H21" s="128"/>
    </row>
    <row r="22" spans="2:8" ht="34.5" customHeight="1" x14ac:dyDescent="0.35">
      <c r="B22" s="130" t="s">
        <v>934</v>
      </c>
      <c r="C22" s="466"/>
      <c r="D22" s="139" t="s">
        <v>935</v>
      </c>
      <c r="E22" s="139" t="s">
        <v>936</v>
      </c>
      <c r="F22" s="131" t="s">
        <v>937</v>
      </c>
      <c r="G22" s="131" t="s">
        <v>938</v>
      </c>
      <c r="H22" s="132" t="s">
        <v>939</v>
      </c>
    </row>
    <row r="23" spans="2:8" ht="34.5" customHeight="1" x14ac:dyDescent="0.35">
      <c r="B23" s="134"/>
      <c r="C23" s="466"/>
      <c r="D23" s="140" t="s">
        <v>940</v>
      </c>
      <c r="E23" s="140" t="s">
        <v>941</v>
      </c>
      <c r="F23" s="135" t="s">
        <v>942</v>
      </c>
      <c r="G23" s="135" t="s">
        <v>943</v>
      </c>
      <c r="H23" s="136" t="s">
        <v>944</v>
      </c>
    </row>
    <row r="24" spans="2:8" ht="3.75" customHeight="1" x14ac:dyDescent="0.35">
      <c r="B24" s="141"/>
      <c r="C24" s="141"/>
      <c r="D24" s="141"/>
      <c r="E24" s="141"/>
      <c r="F24" s="141"/>
      <c r="G24" s="141"/>
      <c r="H24" s="141"/>
    </row>
    <row r="25" spans="2:8" x14ac:dyDescent="0.35">
      <c r="B25" s="141"/>
      <c r="C25" s="141"/>
      <c r="D25" s="141"/>
      <c r="E25" s="141"/>
      <c r="F25" s="141"/>
      <c r="G25" s="141"/>
      <c r="H25" s="141"/>
    </row>
  </sheetData>
  <sheetProtection sheet="1" objects="1" scenarios="1"/>
  <mergeCells count="18">
    <mergeCell ref="B2:C3"/>
    <mergeCell ref="D2:H2"/>
    <mergeCell ref="D3:H3"/>
    <mergeCell ref="B4:C4"/>
    <mergeCell ref="B5:C5"/>
    <mergeCell ref="D5:D6"/>
    <mergeCell ref="E5:E6"/>
    <mergeCell ref="F5:F6"/>
    <mergeCell ref="G5:G6"/>
    <mergeCell ref="H5:H6"/>
    <mergeCell ref="C18:C20"/>
    <mergeCell ref="C21:C23"/>
    <mergeCell ref="B6:C6"/>
    <mergeCell ref="B7:C7"/>
    <mergeCell ref="D8:H8"/>
    <mergeCell ref="C9:C11"/>
    <mergeCell ref="C12:C14"/>
    <mergeCell ref="C15:C17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79D7-BDFC-4CDE-8F1B-CBC5BD936BBD}">
  <sheetPr codeName="Planilha10">
    <tabColor theme="0" tint="-0.499984740745262"/>
  </sheetPr>
  <dimension ref="B2:N181"/>
  <sheetViews>
    <sheetView workbookViewId="0">
      <selection activeCell="L3" sqref="L3:L41"/>
    </sheetView>
  </sheetViews>
  <sheetFormatPr defaultColWidth="2.85546875" defaultRowHeight="15" x14ac:dyDescent="0.25"/>
  <cols>
    <col min="2" max="2" width="30" bestFit="1" customWidth="1"/>
    <col min="4" max="4" width="23.28515625" bestFit="1" customWidth="1"/>
    <col min="6" max="6" width="32" bestFit="1" customWidth="1"/>
    <col min="8" max="8" width="17" customWidth="1"/>
    <col min="10" max="10" width="18.28515625" bestFit="1" customWidth="1"/>
    <col min="12" max="12" width="11.5703125" style="145" customWidth="1"/>
    <col min="14" max="14" width="5" hidden="1" customWidth="1"/>
  </cols>
  <sheetData>
    <row r="2" spans="2:14" s="67" customFormat="1" x14ac:dyDescent="0.25">
      <c r="B2" s="67" t="s">
        <v>291</v>
      </c>
      <c r="D2" s="67" t="s">
        <v>6</v>
      </c>
      <c r="F2" s="67" t="s">
        <v>293</v>
      </c>
      <c r="H2" s="67" t="s">
        <v>945</v>
      </c>
      <c r="J2" s="67" t="s">
        <v>946</v>
      </c>
      <c r="L2" s="146" t="s">
        <v>20</v>
      </c>
    </row>
    <row r="3" spans="2:14" x14ac:dyDescent="0.25">
      <c r="B3" t="s">
        <v>304</v>
      </c>
      <c r="D3" t="s">
        <v>947</v>
      </c>
      <c r="F3" t="s">
        <v>12</v>
      </c>
      <c r="H3" t="s">
        <v>1</v>
      </c>
      <c r="J3" t="s">
        <v>948</v>
      </c>
      <c r="L3" s="145" t="s">
        <v>949</v>
      </c>
      <c r="N3" s="161" t="s">
        <v>949</v>
      </c>
    </row>
    <row r="4" spans="2:14" x14ac:dyDescent="0.25">
      <c r="B4" t="s">
        <v>300</v>
      </c>
      <c r="D4" t="s">
        <v>950</v>
      </c>
      <c r="F4" t="s">
        <v>951</v>
      </c>
      <c r="H4" t="s">
        <v>952</v>
      </c>
      <c r="J4" t="s">
        <v>100</v>
      </c>
      <c r="L4" s="145" t="s">
        <v>953</v>
      </c>
      <c r="N4" s="161" t="s">
        <v>953</v>
      </c>
    </row>
    <row r="5" spans="2:14" x14ac:dyDescent="0.25">
      <c r="B5" t="s">
        <v>954</v>
      </c>
      <c r="D5" t="s">
        <v>955</v>
      </c>
      <c r="F5" t="s">
        <v>956</v>
      </c>
      <c r="H5" t="s">
        <v>957</v>
      </c>
      <c r="J5" t="s">
        <v>842</v>
      </c>
      <c r="L5" s="145" t="s">
        <v>958</v>
      </c>
      <c r="N5" s="161" t="s">
        <v>958</v>
      </c>
    </row>
    <row r="6" spans="2:14" x14ac:dyDescent="0.25">
      <c r="F6" t="s">
        <v>959</v>
      </c>
      <c r="L6" s="145" t="s">
        <v>960</v>
      </c>
      <c r="N6" s="161" t="s">
        <v>960</v>
      </c>
    </row>
    <row r="7" spans="2:14" x14ac:dyDescent="0.25">
      <c r="F7" t="s">
        <v>950</v>
      </c>
      <c r="L7" s="145" t="s">
        <v>961</v>
      </c>
      <c r="N7" s="161" t="s">
        <v>961</v>
      </c>
    </row>
    <row r="8" spans="2:14" x14ac:dyDescent="0.25">
      <c r="F8" t="s">
        <v>955</v>
      </c>
      <c r="L8" s="145" t="s">
        <v>962</v>
      </c>
      <c r="N8" s="161" t="s">
        <v>962</v>
      </c>
    </row>
    <row r="9" spans="2:14" x14ac:dyDescent="0.25">
      <c r="L9" s="145" t="s">
        <v>21</v>
      </c>
      <c r="N9" s="161" t="s">
        <v>21</v>
      </c>
    </row>
    <row r="10" spans="2:14" x14ac:dyDescent="0.25">
      <c r="L10" s="145" t="s">
        <v>963</v>
      </c>
      <c r="N10" s="161" t="s">
        <v>963</v>
      </c>
    </row>
    <row r="11" spans="2:14" x14ac:dyDescent="0.25">
      <c r="L11" s="145" t="s">
        <v>964</v>
      </c>
      <c r="N11" s="161" t="s">
        <v>964</v>
      </c>
    </row>
    <row r="12" spans="2:14" x14ac:dyDescent="0.25">
      <c r="L12" s="145" t="s">
        <v>965</v>
      </c>
      <c r="N12" s="161" t="s">
        <v>965</v>
      </c>
    </row>
    <row r="13" spans="2:14" x14ac:dyDescent="0.25">
      <c r="L13" s="145" t="s">
        <v>966</v>
      </c>
      <c r="N13" s="161" t="s">
        <v>966</v>
      </c>
    </row>
    <row r="14" spans="2:14" x14ac:dyDescent="0.25">
      <c r="L14" s="145" t="s">
        <v>967</v>
      </c>
      <c r="N14" s="161" t="s">
        <v>967</v>
      </c>
    </row>
    <row r="15" spans="2:14" x14ac:dyDescent="0.25">
      <c r="L15" s="145" t="s">
        <v>968</v>
      </c>
      <c r="N15" s="161" t="s">
        <v>968</v>
      </c>
    </row>
    <row r="16" spans="2:14" x14ac:dyDescent="0.25">
      <c r="L16" s="145" t="s">
        <v>969</v>
      </c>
      <c r="N16" s="161" t="s">
        <v>969</v>
      </c>
    </row>
    <row r="17" spans="12:14" x14ac:dyDescent="0.25">
      <c r="L17" s="145" t="s">
        <v>970</v>
      </c>
      <c r="N17" s="161" t="s">
        <v>970</v>
      </c>
    </row>
    <row r="18" spans="12:14" x14ac:dyDescent="0.25">
      <c r="L18" s="145" t="s">
        <v>971</v>
      </c>
      <c r="N18" s="161" t="s">
        <v>971</v>
      </c>
    </row>
    <row r="19" spans="12:14" x14ac:dyDescent="0.25">
      <c r="L19" s="145" t="s">
        <v>972</v>
      </c>
      <c r="N19" s="161" t="s">
        <v>972</v>
      </c>
    </row>
    <row r="20" spans="12:14" x14ac:dyDescent="0.25">
      <c r="L20" s="145" t="s">
        <v>973</v>
      </c>
      <c r="N20" s="161" t="s">
        <v>974</v>
      </c>
    </row>
    <row r="21" spans="12:14" x14ac:dyDescent="0.25">
      <c r="L21" s="145" t="s">
        <v>974</v>
      </c>
      <c r="N21" s="161" t="s">
        <v>975</v>
      </c>
    </row>
    <row r="22" spans="12:14" x14ac:dyDescent="0.25">
      <c r="L22" s="145" t="s">
        <v>975</v>
      </c>
      <c r="N22" s="161" t="s">
        <v>976</v>
      </c>
    </row>
    <row r="23" spans="12:14" x14ac:dyDescent="0.25">
      <c r="L23" s="145" t="s">
        <v>976</v>
      </c>
      <c r="N23" s="161" t="s">
        <v>977</v>
      </c>
    </row>
    <row r="24" spans="12:14" x14ac:dyDescent="0.25">
      <c r="L24" s="145" t="s">
        <v>978</v>
      </c>
      <c r="N24" s="161" t="s">
        <v>979</v>
      </c>
    </row>
    <row r="25" spans="12:14" x14ac:dyDescent="0.25">
      <c r="L25" s="145" t="s">
        <v>980</v>
      </c>
      <c r="N25" s="161" t="s">
        <v>981</v>
      </c>
    </row>
    <row r="26" spans="12:14" x14ac:dyDescent="0.25">
      <c r="L26" s="145" t="s">
        <v>977</v>
      </c>
      <c r="N26" s="161" t="s">
        <v>982</v>
      </c>
    </row>
    <row r="27" spans="12:14" x14ac:dyDescent="0.25">
      <c r="L27" s="145" t="s">
        <v>979</v>
      </c>
      <c r="N27" s="161" t="s">
        <v>983</v>
      </c>
    </row>
    <row r="28" spans="12:14" x14ac:dyDescent="0.25">
      <c r="L28" s="145" t="s">
        <v>981</v>
      </c>
      <c r="N28" s="161" t="s">
        <v>984</v>
      </c>
    </row>
    <row r="29" spans="12:14" x14ac:dyDescent="0.25">
      <c r="L29" s="145" t="s">
        <v>982</v>
      </c>
      <c r="N29" s="161" t="s">
        <v>985</v>
      </c>
    </row>
    <row r="30" spans="12:14" x14ac:dyDescent="0.25">
      <c r="L30" s="145" t="s">
        <v>983</v>
      </c>
      <c r="N30" s="161" t="s">
        <v>986</v>
      </c>
    </row>
    <row r="31" spans="12:14" x14ac:dyDescent="0.25">
      <c r="L31" s="145" t="s">
        <v>984</v>
      </c>
      <c r="N31" s="161" t="s">
        <v>987</v>
      </c>
    </row>
    <row r="32" spans="12:14" x14ac:dyDescent="0.25">
      <c r="L32" s="145" t="s">
        <v>985</v>
      </c>
      <c r="N32" s="161" t="s">
        <v>988</v>
      </c>
    </row>
    <row r="33" spans="12:14" x14ac:dyDescent="0.25">
      <c r="L33" s="145" t="s">
        <v>986</v>
      </c>
      <c r="N33" s="161" t="s">
        <v>989</v>
      </c>
    </row>
    <row r="34" spans="12:14" x14ac:dyDescent="0.25">
      <c r="L34" s="145" t="s">
        <v>987</v>
      </c>
      <c r="N34" s="161" t="s">
        <v>990</v>
      </c>
    </row>
    <row r="35" spans="12:14" x14ac:dyDescent="0.25">
      <c r="L35" s="145" t="s">
        <v>988</v>
      </c>
      <c r="N35" s="161" t="s">
        <v>991</v>
      </c>
    </row>
    <row r="36" spans="12:14" x14ac:dyDescent="0.25">
      <c r="L36" s="145" t="s">
        <v>989</v>
      </c>
      <c r="N36" s="161" t="s">
        <v>992</v>
      </c>
    </row>
    <row r="37" spans="12:14" x14ac:dyDescent="0.25">
      <c r="L37" s="145" t="s">
        <v>990</v>
      </c>
      <c r="N37" s="161" t="s">
        <v>993</v>
      </c>
    </row>
    <row r="38" spans="12:14" x14ac:dyDescent="0.25">
      <c r="L38" s="145" t="s">
        <v>991</v>
      </c>
      <c r="N38" s="161" t="s">
        <v>994</v>
      </c>
    </row>
    <row r="39" spans="12:14" x14ac:dyDescent="0.25">
      <c r="L39" s="145" t="s">
        <v>992</v>
      </c>
      <c r="N39" s="161" t="s">
        <v>995</v>
      </c>
    </row>
    <row r="40" spans="12:14" x14ac:dyDescent="0.25">
      <c r="L40" s="145" t="s">
        <v>993</v>
      </c>
      <c r="N40" s="161" t="s">
        <v>973</v>
      </c>
    </row>
    <row r="41" spans="12:14" x14ac:dyDescent="0.25">
      <c r="L41" s="145" t="s">
        <v>995</v>
      </c>
      <c r="N41" s="161" t="s">
        <v>978</v>
      </c>
    </row>
    <row r="42" spans="12:14" x14ac:dyDescent="0.25">
      <c r="L42" s="145" t="s">
        <v>994</v>
      </c>
      <c r="N42" s="161" t="s">
        <v>980</v>
      </c>
    </row>
    <row r="43" spans="12:14" x14ac:dyDescent="0.25">
      <c r="N43" s="145" t="s">
        <v>996</v>
      </c>
    </row>
    <row r="44" spans="12:14" x14ac:dyDescent="0.25">
      <c r="N44" s="162" t="s">
        <v>997</v>
      </c>
    </row>
    <row r="45" spans="12:14" x14ac:dyDescent="0.25">
      <c r="N45" s="145" t="s">
        <v>998</v>
      </c>
    </row>
    <row r="46" spans="12:14" x14ac:dyDescent="0.25">
      <c r="N46" s="162" t="s">
        <v>999</v>
      </c>
    </row>
    <row r="47" spans="12:14" x14ac:dyDescent="0.25">
      <c r="N47" s="145" t="s">
        <v>1000</v>
      </c>
    </row>
    <row r="48" spans="12:14" x14ac:dyDescent="0.25">
      <c r="N48" s="162" t="s">
        <v>1001</v>
      </c>
    </row>
    <row r="49" spans="14:14" x14ac:dyDescent="0.25">
      <c r="N49" s="145" t="s">
        <v>1002</v>
      </c>
    </row>
    <row r="50" spans="14:14" x14ac:dyDescent="0.25">
      <c r="N50" s="162" t="s">
        <v>1003</v>
      </c>
    </row>
    <row r="51" spans="14:14" x14ac:dyDescent="0.25">
      <c r="N51" s="145" t="s">
        <v>1004</v>
      </c>
    </row>
    <row r="52" spans="14:14" x14ac:dyDescent="0.25">
      <c r="N52" s="162" t="s">
        <v>1005</v>
      </c>
    </row>
    <row r="53" spans="14:14" x14ac:dyDescent="0.25">
      <c r="N53" s="145" t="s">
        <v>1006</v>
      </c>
    </row>
    <row r="54" spans="14:14" x14ac:dyDescent="0.25">
      <c r="N54" s="162" t="s">
        <v>1007</v>
      </c>
    </row>
    <row r="55" spans="14:14" x14ac:dyDescent="0.25">
      <c r="N55" s="145" t="s">
        <v>1008</v>
      </c>
    </row>
    <row r="56" spans="14:14" x14ac:dyDescent="0.25">
      <c r="N56" s="162" t="s">
        <v>1009</v>
      </c>
    </row>
    <row r="57" spans="14:14" x14ac:dyDescent="0.25">
      <c r="N57" s="145" t="s">
        <v>1010</v>
      </c>
    </row>
    <row r="58" spans="14:14" x14ac:dyDescent="0.25">
      <c r="N58" s="162" t="s">
        <v>1011</v>
      </c>
    </row>
    <row r="59" spans="14:14" x14ac:dyDescent="0.25">
      <c r="N59" s="145" t="s">
        <v>1012</v>
      </c>
    </row>
    <row r="60" spans="14:14" x14ac:dyDescent="0.25">
      <c r="N60" s="162" t="s">
        <v>1013</v>
      </c>
    </row>
    <row r="61" spans="14:14" x14ac:dyDescent="0.25">
      <c r="N61" s="145" t="s">
        <v>1014</v>
      </c>
    </row>
    <row r="62" spans="14:14" x14ac:dyDescent="0.25">
      <c r="N62" s="162" t="s">
        <v>1015</v>
      </c>
    </row>
    <row r="63" spans="14:14" x14ac:dyDescent="0.25">
      <c r="N63" s="145" t="s">
        <v>1016</v>
      </c>
    </row>
    <row r="64" spans="14:14" x14ac:dyDescent="0.25">
      <c r="N64" s="162" t="s">
        <v>1017</v>
      </c>
    </row>
    <row r="65" spans="14:14" x14ac:dyDescent="0.25">
      <c r="N65" s="145" t="s">
        <v>1018</v>
      </c>
    </row>
    <row r="66" spans="14:14" x14ac:dyDescent="0.25">
      <c r="N66" s="162" t="s">
        <v>1019</v>
      </c>
    </row>
    <row r="67" spans="14:14" x14ac:dyDescent="0.25">
      <c r="N67" s="145" t="s">
        <v>1020</v>
      </c>
    </row>
    <row r="68" spans="14:14" x14ac:dyDescent="0.25">
      <c r="N68" s="162" t="s">
        <v>1021</v>
      </c>
    </row>
    <row r="69" spans="14:14" x14ac:dyDescent="0.25">
      <c r="N69" s="145" t="s">
        <v>1022</v>
      </c>
    </row>
    <row r="70" spans="14:14" x14ac:dyDescent="0.25">
      <c r="N70" s="162" t="s">
        <v>1023</v>
      </c>
    </row>
    <row r="71" spans="14:14" x14ac:dyDescent="0.25">
      <c r="N71" s="145" t="s">
        <v>1024</v>
      </c>
    </row>
    <row r="72" spans="14:14" x14ac:dyDescent="0.25">
      <c r="N72" s="162" t="s">
        <v>1025</v>
      </c>
    </row>
    <row r="73" spans="14:14" x14ac:dyDescent="0.25">
      <c r="N73" s="145" t="s">
        <v>1026</v>
      </c>
    </row>
    <row r="74" spans="14:14" x14ac:dyDescent="0.25">
      <c r="N74" s="162" t="s">
        <v>1027</v>
      </c>
    </row>
    <row r="75" spans="14:14" x14ac:dyDescent="0.25">
      <c r="N75" s="145" t="s">
        <v>1028</v>
      </c>
    </row>
    <row r="76" spans="14:14" x14ac:dyDescent="0.25">
      <c r="N76" s="162" t="s">
        <v>1029</v>
      </c>
    </row>
    <row r="77" spans="14:14" x14ac:dyDescent="0.25">
      <c r="N77" s="145" t="s">
        <v>1030</v>
      </c>
    </row>
    <row r="78" spans="14:14" x14ac:dyDescent="0.25">
      <c r="N78" s="162" t="s">
        <v>1031</v>
      </c>
    </row>
    <row r="79" spans="14:14" x14ac:dyDescent="0.25">
      <c r="N79" s="145" t="s">
        <v>1032</v>
      </c>
    </row>
    <row r="80" spans="14:14" x14ac:dyDescent="0.25">
      <c r="N80" s="162" t="s">
        <v>1033</v>
      </c>
    </row>
    <row r="81" spans="14:14" x14ac:dyDescent="0.25">
      <c r="N81" s="145" t="s">
        <v>1034</v>
      </c>
    </row>
    <row r="82" spans="14:14" x14ac:dyDescent="0.25">
      <c r="N82" s="162" t="s">
        <v>1035</v>
      </c>
    </row>
    <row r="83" spans="14:14" x14ac:dyDescent="0.25">
      <c r="N83" s="145" t="s">
        <v>1036</v>
      </c>
    </row>
    <row r="84" spans="14:14" x14ac:dyDescent="0.25">
      <c r="N84" s="162" t="s">
        <v>1037</v>
      </c>
    </row>
    <row r="85" spans="14:14" x14ac:dyDescent="0.25">
      <c r="N85" s="145" t="s">
        <v>1038</v>
      </c>
    </row>
    <row r="86" spans="14:14" x14ac:dyDescent="0.25">
      <c r="N86" s="162" t="s">
        <v>1039</v>
      </c>
    </row>
    <row r="87" spans="14:14" x14ac:dyDescent="0.25">
      <c r="N87" s="145" t="s">
        <v>1040</v>
      </c>
    </row>
    <row r="88" spans="14:14" x14ac:dyDescent="0.25">
      <c r="N88" s="162" t="s">
        <v>1041</v>
      </c>
    </row>
    <row r="89" spans="14:14" x14ac:dyDescent="0.25">
      <c r="N89" s="145" t="s">
        <v>1042</v>
      </c>
    </row>
    <row r="90" spans="14:14" x14ac:dyDescent="0.25">
      <c r="N90" s="162" t="s">
        <v>1043</v>
      </c>
    </row>
    <row r="91" spans="14:14" x14ac:dyDescent="0.25">
      <c r="N91" s="145" t="s">
        <v>1044</v>
      </c>
    </row>
    <row r="92" spans="14:14" x14ac:dyDescent="0.25">
      <c r="N92" s="162" t="s">
        <v>1045</v>
      </c>
    </row>
    <row r="93" spans="14:14" x14ac:dyDescent="0.25">
      <c r="N93" s="145" t="s">
        <v>1046</v>
      </c>
    </row>
    <row r="94" spans="14:14" x14ac:dyDescent="0.25">
      <c r="N94" s="162" t="s">
        <v>1047</v>
      </c>
    </row>
    <row r="95" spans="14:14" x14ac:dyDescent="0.25">
      <c r="N95" s="145" t="s">
        <v>1048</v>
      </c>
    </row>
    <row r="96" spans="14:14" x14ac:dyDescent="0.25">
      <c r="N96" s="162" t="s">
        <v>1049</v>
      </c>
    </row>
    <row r="97" spans="14:14" x14ac:dyDescent="0.25">
      <c r="N97" s="145" t="s">
        <v>1050</v>
      </c>
    </row>
    <row r="98" spans="14:14" x14ac:dyDescent="0.25">
      <c r="N98" s="162" t="s">
        <v>1051</v>
      </c>
    </row>
    <row r="99" spans="14:14" x14ac:dyDescent="0.25">
      <c r="N99" s="145" t="s">
        <v>1052</v>
      </c>
    </row>
    <row r="100" spans="14:14" x14ac:dyDescent="0.25">
      <c r="N100" s="162" t="s">
        <v>1053</v>
      </c>
    </row>
    <row r="101" spans="14:14" x14ac:dyDescent="0.25">
      <c r="N101" s="145" t="s">
        <v>1054</v>
      </c>
    </row>
    <row r="102" spans="14:14" x14ac:dyDescent="0.25">
      <c r="N102" s="162" t="s">
        <v>1055</v>
      </c>
    </row>
    <row r="103" spans="14:14" x14ac:dyDescent="0.25">
      <c r="N103" s="145" t="s">
        <v>1056</v>
      </c>
    </row>
    <row r="104" spans="14:14" x14ac:dyDescent="0.25">
      <c r="N104" s="162" t="s">
        <v>1057</v>
      </c>
    </row>
    <row r="105" spans="14:14" x14ac:dyDescent="0.25">
      <c r="N105" s="145" t="s">
        <v>1058</v>
      </c>
    </row>
    <row r="106" spans="14:14" x14ac:dyDescent="0.25">
      <c r="N106" s="162" t="s">
        <v>1059</v>
      </c>
    </row>
    <row r="107" spans="14:14" x14ac:dyDescent="0.25">
      <c r="N107" s="145" t="s">
        <v>1060</v>
      </c>
    </row>
    <row r="108" spans="14:14" x14ac:dyDescent="0.25">
      <c r="N108" s="162" t="s">
        <v>1061</v>
      </c>
    </row>
    <row r="109" spans="14:14" x14ac:dyDescent="0.25">
      <c r="N109" s="145" t="s">
        <v>1062</v>
      </c>
    </row>
    <row r="110" spans="14:14" x14ac:dyDescent="0.25">
      <c r="N110" s="162" t="s">
        <v>1063</v>
      </c>
    </row>
    <row r="111" spans="14:14" x14ac:dyDescent="0.25">
      <c r="N111" s="145" t="s">
        <v>1064</v>
      </c>
    </row>
    <row r="112" spans="14:14" x14ac:dyDescent="0.25">
      <c r="N112" s="162" t="s">
        <v>1065</v>
      </c>
    </row>
    <row r="113" spans="14:14" x14ac:dyDescent="0.25">
      <c r="N113" s="145" t="s">
        <v>1066</v>
      </c>
    </row>
    <row r="114" spans="14:14" x14ac:dyDescent="0.25">
      <c r="N114" s="162" t="s">
        <v>1067</v>
      </c>
    </row>
    <row r="115" spans="14:14" x14ac:dyDescent="0.25">
      <c r="N115" s="145" t="s">
        <v>1068</v>
      </c>
    </row>
    <row r="116" spans="14:14" x14ac:dyDescent="0.25">
      <c r="N116" s="162" t="s">
        <v>1069</v>
      </c>
    </row>
    <row r="117" spans="14:14" x14ac:dyDescent="0.25">
      <c r="N117" s="145" t="s">
        <v>1070</v>
      </c>
    </row>
    <row r="118" spans="14:14" x14ac:dyDescent="0.25">
      <c r="N118" s="162" t="s">
        <v>1071</v>
      </c>
    </row>
    <row r="119" spans="14:14" x14ac:dyDescent="0.25">
      <c r="N119" s="145" t="s">
        <v>1072</v>
      </c>
    </row>
    <row r="120" spans="14:14" x14ac:dyDescent="0.25">
      <c r="N120" s="162" t="s">
        <v>1073</v>
      </c>
    </row>
    <row r="121" spans="14:14" x14ac:dyDescent="0.25">
      <c r="N121" s="162" t="s">
        <v>1074</v>
      </c>
    </row>
    <row r="122" spans="14:14" x14ac:dyDescent="0.25">
      <c r="N122" s="145" t="s">
        <v>1075</v>
      </c>
    </row>
    <row r="123" spans="14:14" x14ac:dyDescent="0.25">
      <c r="N123" s="162" t="s">
        <v>1076</v>
      </c>
    </row>
    <row r="124" spans="14:14" x14ac:dyDescent="0.25">
      <c r="N124" s="145" t="s">
        <v>1077</v>
      </c>
    </row>
    <row r="125" spans="14:14" x14ac:dyDescent="0.25">
      <c r="N125" s="162" t="s">
        <v>1078</v>
      </c>
    </row>
    <row r="126" spans="14:14" x14ac:dyDescent="0.25">
      <c r="N126" s="145" t="s">
        <v>1079</v>
      </c>
    </row>
    <row r="127" spans="14:14" x14ac:dyDescent="0.25">
      <c r="N127" s="162" t="s">
        <v>1080</v>
      </c>
    </row>
    <row r="128" spans="14:14" x14ac:dyDescent="0.25">
      <c r="N128" s="145" t="s">
        <v>1081</v>
      </c>
    </row>
    <row r="129" spans="14:14" x14ac:dyDescent="0.25">
      <c r="N129" s="162" t="s">
        <v>1082</v>
      </c>
    </row>
    <row r="130" spans="14:14" x14ac:dyDescent="0.25">
      <c r="N130" s="145" t="s">
        <v>1083</v>
      </c>
    </row>
    <row r="131" spans="14:14" x14ac:dyDescent="0.25">
      <c r="N131" s="162" t="s">
        <v>1084</v>
      </c>
    </row>
    <row r="132" spans="14:14" x14ac:dyDescent="0.25">
      <c r="N132" s="145" t="s">
        <v>1085</v>
      </c>
    </row>
    <row r="133" spans="14:14" x14ac:dyDescent="0.25">
      <c r="N133" s="162" t="s">
        <v>1086</v>
      </c>
    </row>
    <row r="134" spans="14:14" x14ac:dyDescent="0.25">
      <c r="N134" s="145" t="s">
        <v>1087</v>
      </c>
    </row>
    <row r="135" spans="14:14" x14ac:dyDescent="0.25">
      <c r="N135" s="162" t="s">
        <v>1088</v>
      </c>
    </row>
    <row r="136" spans="14:14" x14ac:dyDescent="0.25">
      <c r="N136" s="145" t="s">
        <v>1089</v>
      </c>
    </row>
    <row r="137" spans="14:14" x14ac:dyDescent="0.25">
      <c r="N137" s="162" t="s">
        <v>1090</v>
      </c>
    </row>
    <row r="138" spans="14:14" x14ac:dyDescent="0.25">
      <c r="N138" s="145" t="s">
        <v>1091</v>
      </c>
    </row>
    <row r="139" spans="14:14" x14ac:dyDescent="0.25">
      <c r="N139" s="162" t="s">
        <v>1092</v>
      </c>
    </row>
    <row r="140" spans="14:14" x14ac:dyDescent="0.25">
      <c r="N140" s="145" t="s">
        <v>1093</v>
      </c>
    </row>
    <row r="141" spans="14:14" x14ac:dyDescent="0.25">
      <c r="N141" s="162" t="s">
        <v>1094</v>
      </c>
    </row>
    <row r="142" spans="14:14" x14ac:dyDescent="0.25">
      <c r="N142" s="145" t="s">
        <v>1095</v>
      </c>
    </row>
    <row r="143" spans="14:14" x14ac:dyDescent="0.25">
      <c r="N143" s="162" t="s">
        <v>1096</v>
      </c>
    </row>
    <row r="144" spans="14:14" x14ac:dyDescent="0.25">
      <c r="N144" s="145" t="s">
        <v>1097</v>
      </c>
    </row>
    <row r="145" spans="14:14" x14ac:dyDescent="0.25">
      <c r="N145" s="162" t="s">
        <v>1098</v>
      </c>
    </row>
    <row r="146" spans="14:14" x14ac:dyDescent="0.25">
      <c r="N146" s="145" t="s">
        <v>1099</v>
      </c>
    </row>
    <row r="147" spans="14:14" x14ac:dyDescent="0.25">
      <c r="N147" s="162" t="s">
        <v>1100</v>
      </c>
    </row>
    <row r="148" spans="14:14" x14ac:dyDescent="0.25">
      <c r="N148" s="145" t="s">
        <v>1101</v>
      </c>
    </row>
    <row r="149" spans="14:14" x14ac:dyDescent="0.25">
      <c r="N149" s="162" t="s">
        <v>1102</v>
      </c>
    </row>
    <row r="150" spans="14:14" x14ac:dyDescent="0.25">
      <c r="N150" s="145" t="s">
        <v>1103</v>
      </c>
    </row>
    <row r="151" spans="14:14" x14ac:dyDescent="0.25">
      <c r="N151" s="162" t="s">
        <v>1104</v>
      </c>
    </row>
    <row r="152" spans="14:14" x14ac:dyDescent="0.25">
      <c r="N152" s="145" t="s">
        <v>1105</v>
      </c>
    </row>
    <row r="153" spans="14:14" x14ac:dyDescent="0.25">
      <c r="N153" s="162" t="s">
        <v>1106</v>
      </c>
    </row>
    <row r="154" spans="14:14" x14ac:dyDescent="0.25">
      <c r="N154" s="145" t="s">
        <v>1107</v>
      </c>
    </row>
    <row r="155" spans="14:14" x14ac:dyDescent="0.25">
      <c r="N155" s="162" t="s">
        <v>1108</v>
      </c>
    </row>
    <row r="156" spans="14:14" x14ac:dyDescent="0.25">
      <c r="N156" s="145" t="s">
        <v>1109</v>
      </c>
    </row>
    <row r="157" spans="14:14" x14ac:dyDescent="0.25">
      <c r="N157" s="162" t="s">
        <v>1110</v>
      </c>
    </row>
    <row r="158" spans="14:14" x14ac:dyDescent="0.25">
      <c r="N158" s="145" t="s">
        <v>1111</v>
      </c>
    </row>
    <row r="159" spans="14:14" x14ac:dyDescent="0.25">
      <c r="N159" s="162" t="s">
        <v>1112</v>
      </c>
    </row>
    <row r="160" spans="14:14" x14ac:dyDescent="0.25">
      <c r="N160" s="145" t="s">
        <v>1113</v>
      </c>
    </row>
    <row r="161" spans="14:14" x14ac:dyDescent="0.25">
      <c r="N161" s="162" t="s">
        <v>1114</v>
      </c>
    </row>
    <row r="162" spans="14:14" x14ac:dyDescent="0.25">
      <c r="N162" s="145" t="s">
        <v>1115</v>
      </c>
    </row>
    <row r="163" spans="14:14" x14ac:dyDescent="0.25">
      <c r="N163" s="162" t="s">
        <v>1116</v>
      </c>
    </row>
    <row r="164" spans="14:14" x14ac:dyDescent="0.25">
      <c r="N164" s="145" t="s">
        <v>1117</v>
      </c>
    </row>
    <row r="165" spans="14:14" x14ac:dyDescent="0.25">
      <c r="N165" s="162" t="s">
        <v>1118</v>
      </c>
    </row>
    <row r="166" spans="14:14" x14ac:dyDescent="0.25">
      <c r="N166" s="145" t="s">
        <v>1119</v>
      </c>
    </row>
    <row r="167" spans="14:14" x14ac:dyDescent="0.25">
      <c r="N167" s="162" t="s">
        <v>1120</v>
      </c>
    </row>
    <row r="168" spans="14:14" x14ac:dyDescent="0.25">
      <c r="N168" s="145" t="s">
        <v>1121</v>
      </c>
    </row>
    <row r="169" spans="14:14" x14ac:dyDescent="0.25">
      <c r="N169" s="162" t="s">
        <v>1122</v>
      </c>
    </row>
    <row r="170" spans="14:14" x14ac:dyDescent="0.25">
      <c r="N170" s="145" t="s">
        <v>1123</v>
      </c>
    </row>
    <row r="171" spans="14:14" x14ac:dyDescent="0.25">
      <c r="N171" s="162" t="s">
        <v>1124</v>
      </c>
    </row>
    <row r="172" spans="14:14" x14ac:dyDescent="0.25">
      <c r="N172" s="145" t="s">
        <v>1125</v>
      </c>
    </row>
    <row r="173" spans="14:14" x14ac:dyDescent="0.25">
      <c r="N173" s="162" t="s">
        <v>1126</v>
      </c>
    </row>
    <row r="174" spans="14:14" x14ac:dyDescent="0.25">
      <c r="N174" s="145" t="s">
        <v>1127</v>
      </c>
    </row>
    <row r="175" spans="14:14" x14ac:dyDescent="0.25">
      <c r="N175" s="162" t="s">
        <v>1128</v>
      </c>
    </row>
    <row r="176" spans="14:14" x14ac:dyDescent="0.25">
      <c r="N176" s="145" t="s">
        <v>1129</v>
      </c>
    </row>
    <row r="177" spans="14:14" x14ac:dyDescent="0.25">
      <c r="N177" s="162" t="s">
        <v>1130</v>
      </c>
    </row>
    <row r="178" spans="14:14" x14ac:dyDescent="0.25">
      <c r="N178" s="145" t="s">
        <v>1131</v>
      </c>
    </row>
    <row r="179" spans="14:14" x14ac:dyDescent="0.25">
      <c r="N179" s="162" t="s">
        <v>1132</v>
      </c>
    </row>
    <row r="180" spans="14:14" x14ac:dyDescent="0.25">
      <c r="N180" s="145" t="s">
        <v>1133</v>
      </c>
    </row>
    <row r="181" spans="14:14" x14ac:dyDescent="0.25">
      <c r="N181" s="163" t="s">
        <v>1134</v>
      </c>
    </row>
  </sheetData>
  <conditionalFormatting sqref="L1:L1048576">
    <cfRule type="duplicateValues" dxfId="3" priority="80"/>
  </conditionalFormatting>
  <conditionalFormatting sqref="L3:L42">
    <cfRule type="duplicateValues" dxfId="2" priority="3"/>
    <cfRule type="duplicateValues" dxfId="1" priority="91"/>
  </conditionalFormatting>
  <conditionalFormatting sqref="N3:N181">
    <cfRule type="duplicateValues" dxfId="0" priority="90"/>
  </conditionalFormatting>
  <pageMargins left="0.51181102362204722" right="0.51181102362204722" top="0.78740157480314965" bottom="0.78740157480314965" header="0.31496062992125984" footer="0.31496062992125984"/>
  <pageSetup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495984368540864ABE2DC20E60F7" ma:contentTypeVersion="3" ma:contentTypeDescription="Crie um novo documento." ma:contentTypeScope="" ma:versionID="eda6db86bf71db9b29d3cf68ebb5acdc">
  <xsd:schema xmlns:xsd="http://www.w3.org/2001/XMLSchema" xmlns:xs="http://www.w3.org/2001/XMLSchema" xmlns:p="http://schemas.microsoft.com/office/2006/metadata/properties" xmlns:ns2="6e6188a2-ebcc-4ccd-986e-d0bad853e87f" targetNamespace="http://schemas.microsoft.com/office/2006/metadata/properties" ma:root="true" ma:fieldsID="8ea366245d41420db82be73071161935" ns2:_="">
    <xsd:import namespace="6e6188a2-ebcc-4ccd-986e-d0bad853e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188a2-ebcc-4ccd-986e-d0bad853e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D6C54-1EA1-447A-B5DC-CAF08210F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F5890F-6BC2-4202-9848-09020F4AAC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4A872-CD2C-4781-9162-FD8B02E16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188a2-ebcc-4ccd-986e-d0bad853e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PEX</vt:lpstr>
      <vt:lpstr>APR</vt:lpstr>
      <vt:lpstr>Croqui</vt:lpstr>
      <vt:lpstr>Controle P.Crítico</vt:lpstr>
      <vt:lpstr>Equipe</vt:lpstr>
      <vt:lpstr>APR (B.Dados)</vt:lpstr>
      <vt:lpstr>Controle P.Crítico (B.Dados)</vt:lpstr>
      <vt:lpstr>Perigos</vt:lpstr>
      <vt:lpstr>Tabelas</vt:lpstr>
      <vt:lpstr>Matriz 5x5</vt:lpstr>
      <vt:lpstr>Auxiliar</vt:lpstr>
      <vt:lpstr>APR!Area_de_impressao</vt:lpstr>
      <vt:lpstr>'APR (B.Dados)'!Area_de_impressao</vt:lpstr>
      <vt:lpstr>Auxiliar!Area_de_impressao</vt:lpstr>
      <vt:lpstr>'Controle P.Crítico'!Area_de_impressao</vt:lpstr>
      <vt:lpstr>'Controle P.Crítico (B.Dados)'!Area_de_impressao</vt:lpstr>
      <vt:lpstr>Croqui!Area_de_impressao</vt:lpstr>
      <vt:lpstr>Equipe!Area_de_impressao</vt:lpstr>
      <vt:lpstr>'Matriz 5x5'!Area_de_impressao</vt:lpstr>
      <vt:lpstr>Perigos!Area_de_impressao</vt:lpstr>
      <vt:lpstr>PEX!Area_de_impressao</vt:lpstr>
      <vt:lpstr>Tabelas!Area_de_impressao</vt:lpstr>
      <vt:lpstr>APR!Titulos_de_impressao</vt:lpstr>
      <vt:lpstr>'APR (B.Dados)'!Titulos_de_impressao</vt:lpstr>
      <vt:lpstr>'Controle P.Crítico'!Titulos_de_impressao</vt:lpstr>
      <vt:lpstr>'Controle P.Crítico (B.Dados)'!Titulos_de_impressao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Ramon Marques Dantas</dc:creator>
  <cp:keywords/>
  <dc:description/>
  <cp:lastModifiedBy>Emmanuel Ramon Marques Dantas</cp:lastModifiedBy>
  <cp:revision/>
  <cp:lastPrinted>2025-12-22T19:38:49Z</cp:lastPrinted>
  <dcterms:created xsi:type="dcterms:W3CDTF">2025-11-25T11:53:57Z</dcterms:created>
  <dcterms:modified xsi:type="dcterms:W3CDTF">2025-12-23T14:32:09Z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2025-11-25T13:25:04Z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c2fc6060-ea27-4047-8e02-75b47c9faf6e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  <property fmtid="{D5CDD505-2E9C-101B-9397-08002B2CF9AE}" pid="10" name="ContentTypeId">
    <vt:lpwstr>0x010100114D495984368540864ABE2DC20E60F7</vt:lpwstr>
  </property>
</Properties>
</file>